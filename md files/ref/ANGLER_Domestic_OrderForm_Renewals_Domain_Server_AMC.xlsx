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92.168.0.115\i\Admin\Server_Renewal\Orderforms\Server Renewal\NewExcelFormat\"/>
    </mc:Choice>
  </mc:AlternateContent>
  <bookViews>
    <workbookView xWindow="0" yWindow="0" windowWidth="20490" windowHeight="7650" activeTab="2"/>
  </bookViews>
  <sheets>
    <sheet name="Domain_Server_AMC" sheetId="1" r:id="rId1"/>
    <sheet name="Server_AMC" sheetId="5" r:id="rId2"/>
    <sheet name="DomainRenewal" sheetId="4" r:id="rId3"/>
  </sheets>
  <definedNames>
    <definedName name="_xlnm.Print_Area" localSheetId="0">Domain_Server_AMC!$B$1:$F$47</definedName>
    <definedName name="_xlnm.Print_Area" localSheetId="2">DomainRenewal!$B$1:$F$45</definedName>
    <definedName name="_xlnm.Print_Area" localSheetId="1">Server_AMC!$B$1:$F$46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 i="5" l="1"/>
  <c r="F20" i="5" s="1"/>
  <c r="F18" i="4"/>
  <c r="F20" i="1"/>
  <c r="F21" i="5" l="1"/>
  <c r="C25" i="5" s="1"/>
  <c r="F20" i="4"/>
  <c r="C24" i="4" s="1"/>
  <c r="F19" i="4"/>
  <c r="F21" i="1"/>
  <c r="F22" i="1" l="1"/>
  <c r="C26" i="1" s="1"/>
</calcChain>
</file>

<file path=xl/sharedStrings.xml><?xml version="1.0" encoding="utf-8"?>
<sst xmlns="http://schemas.openxmlformats.org/spreadsheetml/2006/main" count="217" uniqueCount="76">
  <si>
    <t>ANGLER Customer Contract</t>
  </si>
  <si>
    <t>ANGLER ORDER FORM</t>
  </si>
  <si>
    <t>Customer Name</t>
  </si>
  <si>
    <t>Address</t>
  </si>
  <si>
    <t>City &amp; Pin Code</t>
  </si>
  <si>
    <t>Phone No</t>
  </si>
  <si>
    <t>Mobile No</t>
  </si>
  <si>
    <t>Email Id</t>
  </si>
  <si>
    <t>Contact Person</t>
  </si>
  <si>
    <t>Designation</t>
  </si>
  <si>
    <t>Order #</t>
  </si>
  <si>
    <t>Order Date</t>
  </si>
  <si>
    <t>Marketing Ref.</t>
  </si>
  <si>
    <t>Mktg SBU</t>
  </si>
  <si>
    <t>Mktg Executive</t>
  </si>
  <si>
    <t>Tech SBU</t>
  </si>
  <si>
    <t>Tech Vertical</t>
  </si>
  <si>
    <t>Feature</t>
  </si>
  <si>
    <t>Description</t>
  </si>
  <si>
    <t>Duration</t>
  </si>
  <si>
    <t>Amount</t>
  </si>
  <si>
    <t>In Rs.</t>
  </si>
  <si>
    <t>Service Tax @ 15%</t>
  </si>
  <si>
    <t>Grand Total</t>
  </si>
  <si>
    <t>PAYMENT TERMS</t>
  </si>
  <si>
    <t>Payment %</t>
  </si>
  <si>
    <t>Total Value in Rs.</t>
  </si>
  <si>
    <t>Authorised Signatory</t>
  </si>
  <si>
    <t>For ANGLER Technologies India Pvt Ltd</t>
  </si>
  <si>
    <t>For Customer</t>
  </si>
  <si>
    <t>#1247 (Old # 1144) Trichy Road,</t>
  </si>
  <si>
    <t>Coimbatore - 641 045, India</t>
  </si>
  <si>
    <t>Operations @ USA, CA, UK, UAE, IN, SG, HK, AU</t>
  </si>
  <si>
    <t>Tel : +91-422-2312707, 2313938</t>
  </si>
  <si>
    <t>Fax : + 91-422-2313936</t>
  </si>
  <si>
    <t>Visit us at : www.angleritech.com</t>
  </si>
  <si>
    <t>To be filled by ANGLER Only</t>
  </si>
  <si>
    <t>info@angleritech.com</t>
  </si>
  <si>
    <t>1144 Trichy Road</t>
  </si>
  <si>
    <t>Ramanathapuram</t>
  </si>
  <si>
    <t>Coimbatore - 641 045</t>
  </si>
  <si>
    <t>91-422-2313938</t>
  </si>
  <si>
    <t>Mr. XYZ</t>
  </si>
  <si>
    <t>Executive Direcor</t>
  </si>
  <si>
    <t>M/s. XYZ</t>
  </si>
  <si>
    <t>www.xyz.com</t>
  </si>
  <si>
    <t>1 year</t>
  </si>
  <si>
    <t>Terms and conditions :</t>
  </si>
  <si>
    <t>1. This order form is as an authorisation from the said client retaining the services of ANGLER Technologies India Pvt Ltd., (ANGLER) for domain name registration, displaying the client 's information on the Internet, hosting, designing, software application development and remitting foreign exchange for the same as applicable.</t>
  </si>
  <si>
    <t>2. Pricing may vary according to the clients demand for extra or special requirements or features, for which a separate order form will have to be issued. Also, prices may vary based on local currency fluctuations and ANGLER has the right to revise recurring pricing yearly depending on change in Domain registration / US server costs.</t>
  </si>
  <si>
    <t>Admin</t>
  </si>
  <si>
    <t>Total (total of 1 &amp; 2)</t>
  </si>
  <si>
    <t>3. Strict adherence to payment structure will enable ANGLER to provide prompt and effective service. Delayed payment or non-payment of paymet charges / dues will lead to project stoppage / automatic account deactivation.</t>
  </si>
  <si>
    <t>4. Service Tax is applicable and is charged accordingly in the order form. Sales Tax and other taxes at present are nil, if the Government imposes such direct / indirect taxes (other than Service Tax) then same will be applicable over &amp; above quoted price vide our invoice or supplementary invoice and to be paid for by client retrospectively.</t>
  </si>
  <si>
    <t>5. ANGLER will utilize its best efforts to maintain acceptable performance of services contracted for the various Packages, but ANGLER makes absolutely no warranties whatsoever, express or implied, including warranty of merchantability or fitness for a particular purpose. ANGLER cannot guarantee continuous service, service at any particular time, or integrity of data stored or transmitted via its system or via the Internet.</t>
  </si>
  <si>
    <t>6. All payments are to be made in the form of Cheque / Demand Draft - account payee in favour of ANGLER Technologies India Pvt Ltd., Coimbatore. All payments are non-refundable. All disputes are subject to Coimbatore Jurisdriction only.</t>
  </si>
  <si>
    <t>Pg. 1/1</t>
  </si>
  <si>
    <t>support@angleritech.com</t>
  </si>
  <si>
    <t>RN/HO/16-17/</t>
  </si>
  <si>
    <t>HO Renewals</t>
  </si>
  <si>
    <t>Period</t>
  </si>
  <si>
    <t>28th Nov 2016 -
27th Nov 2017</t>
  </si>
  <si>
    <t xml:space="preserve">1. Domain Name </t>
  </si>
  <si>
    <t>2. Web Server Account 
Rental</t>
  </si>
  <si>
    <t>Value Starter Server Renewal</t>
  </si>
  <si>
    <t>Domain / Server &amp; AMC Cost</t>
  </si>
  <si>
    <r>
      <rPr>
        <sz val="11"/>
        <color theme="10"/>
        <rFont val="Calibri"/>
        <family val="2"/>
        <scheme val="minor"/>
      </rPr>
      <t xml:space="preserve">                                  </t>
    </r>
    <r>
      <rPr>
        <u/>
        <sz val="11"/>
        <color theme="10"/>
        <rFont val="Calibri"/>
        <family val="2"/>
        <scheme val="minor"/>
      </rPr>
      <t>www.angleritech.com</t>
    </r>
  </si>
  <si>
    <t>Total</t>
  </si>
  <si>
    <t>Domain Cost</t>
  </si>
  <si>
    <t>100% in Advance</t>
  </si>
  <si>
    <t xml:space="preserve">Value Starter Server Renewal for  the domain name 
www.xyz.com </t>
  </si>
  <si>
    <t>1. Web Server Account 
Rental</t>
  </si>
  <si>
    <t>Server &amp; AMC Cost</t>
  </si>
  <si>
    <t>3. Annual Charges for maintaining of our website, email support &amp; server management support</t>
  </si>
  <si>
    <t>2. Annual Charges for maintaining of our website, email support &amp; server management support</t>
  </si>
  <si>
    <t>1. Domain Name Renewal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</si>
</sst>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Red]#,##0"/>
  </numFmts>
  <fonts count="11" x14ac:knownFonts="1">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b/>
      <sz val="20"/>
      <color theme="1"/>
      <name val="Calibri"/>
      <family val="2"/>
      <scheme val="minor"/>
    </font>
    <font>
      <b/>
      <sz val="26"/>
      <color theme="1"/>
      <name val="Calibri"/>
      <family val="2"/>
      <scheme val="minor"/>
    </font>
    <font>
      <b/>
      <sz val="11"/>
      <color rgb="FF0000FF"/>
      <name val="Calibri"/>
      <family val="2"/>
      <scheme val="minor"/>
    </font>
    <font>
      <b/>
      <u/>
      <sz val="11"/>
      <color theme="1"/>
      <name val="Calibri"/>
      <family val="2"/>
      <scheme val="minor"/>
    </font>
    <font>
      <sz val="11"/>
      <color rgb="FF0000FF"/>
      <name val="Calibri"/>
      <family val="2"/>
      <scheme val="minor"/>
    </font>
    <font>
      <sz val="10"/>
      <color theme="1"/>
      <name val="Calibri"/>
      <family val="2"/>
      <scheme val="minor"/>
    </font>
    <font>
      <sz val="11"/>
      <color theme="1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71">
    <xf numFmtId="0" fontId="0" fillId="0" borderId="0" xfId="0"/>
    <xf numFmtId="0" fontId="3" fillId="0" borderId="0" xfId="0" applyFont="1"/>
    <xf numFmtId="0" fontId="2" fillId="0" borderId="0" xfId="1" applyFont="1"/>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3" borderId="1" xfId="0" applyFill="1" applyBorder="1" applyAlignment="1">
      <alignment horizontal="center" vertical="center"/>
    </xf>
    <xf numFmtId="0" fontId="1" fillId="0" borderId="0" xfId="0" applyFont="1"/>
    <xf numFmtId="0" fontId="5" fillId="0" borderId="0" xfId="0" applyFont="1"/>
    <xf numFmtId="0" fontId="2" fillId="0" borderId="8" xfId="1" applyBorder="1"/>
    <xf numFmtId="0" fontId="0" fillId="0" borderId="8" xfId="0" applyBorder="1"/>
    <xf numFmtId="0" fontId="0" fillId="0" borderId="8" xfId="0" applyBorder="1" applyAlignment="1">
      <alignment horizontal="right"/>
    </xf>
    <xf numFmtId="0" fontId="1" fillId="0" borderId="0" xfId="0" applyFont="1" applyBorder="1"/>
    <xf numFmtId="0" fontId="6" fillId="0" borderId="1" xfId="0" applyFont="1" applyBorder="1" applyAlignment="1">
      <alignment horizontal="center" vertical="center"/>
    </xf>
    <xf numFmtId="15" fontId="6" fillId="0" borderId="1" xfId="0" applyNumberFormat="1" applyFont="1" applyBorder="1" applyAlignment="1">
      <alignment horizontal="center" vertical="center"/>
    </xf>
    <xf numFmtId="0" fontId="0" fillId="0" borderId="3" xfId="0" applyBorder="1" applyAlignment="1">
      <alignment horizontal="center" vertical="center"/>
    </xf>
    <xf numFmtId="0" fontId="8" fillId="0" borderId="1" xfId="0" applyFont="1" applyBorder="1" applyAlignment="1">
      <alignment horizontal="center" vertical="center"/>
    </xf>
    <xf numFmtId="0" fontId="2" fillId="0" borderId="3" xfId="1" applyBorder="1" applyAlignment="1">
      <alignment horizontal="center" vertical="center"/>
    </xf>
    <xf numFmtId="164" fontId="0" fillId="0" borderId="1" xfId="0" applyNumberFormat="1" applyBorder="1" applyAlignment="1">
      <alignment horizontal="center" vertical="center"/>
    </xf>
    <xf numFmtId="164" fontId="6" fillId="3" borderId="1" xfId="0" applyNumberFormat="1" applyFont="1" applyFill="1" applyBorder="1" applyAlignment="1">
      <alignment horizontal="center" vertical="center"/>
    </xf>
    <xf numFmtId="0" fontId="1" fillId="3" borderId="10" xfId="0" applyFont="1" applyFill="1" applyBorder="1" applyAlignment="1">
      <alignment horizontal="center" vertical="center"/>
    </xf>
    <xf numFmtId="0" fontId="1" fillId="0" borderId="0" xfId="0" applyFont="1" applyFill="1" applyBorder="1" applyAlignment="1">
      <alignment horizontal="center" vertical="center"/>
    </xf>
    <xf numFmtId="164" fontId="1" fillId="0" borderId="0" xfId="0" applyNumberFormat="1" applyFont="1" applyFill="1" applyBorder="1" applyAlignment="1">
      <alignment horizontal="center" vertical="center"/>
    </xf>
    <xf numFmtId="0" fontId="0" fillId="0" borderId="1" xfId="0" applyBorder="1" applyAlignment="1">
      <alignment vertical="center"/>
    </xf>
    <xf numFmtId="0" fontId="0" fillId="0" borderId="3"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2" xfId="0" applyFont="1" applyBorder="1"/>
    <xf numFmtId="0" fontId="1" fillId="0" borderId="0" xfId="0" applyFont="1" applyBorder="1" applyAlignment="1">
      <alignment horizontal="left" indent="3"/>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4" fillId="3" borderId="1"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3" xfId="0" applyFont="1"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2" fillId="0" borderId="2" xfId="1" applyBorder="1" applyAlignment="1">
      <alignment horizontal="center" vertical="center"/>
    </xf>
    <xf numFmtId="0" fontId="2" fillId="0" borderId="13" xfId="1" applyBorder="1" applyAlignment="1">
      <alignment horizontal="center" vertical="center"/>
    </xf>
    <xf numFmtId="0" fontId="9" fillId="0" borderId="12" xfId="0" applyFont="1" applyBorder="1" applyAlignment="1">
      <alignment horizontal="left" wrapText="1"/>
    </xf>
    <xf numFmtId="0" fontId="9" fillId="0" borderId="0" xfId="0" applyFont="1" applyBorder="1" applyAlignment="1">
      <alignment horizontal="left" wrapText="1"/>
    </xf>
    <xf numFmtId="0" fontId="9" fillId="0" borderId="14" xfId="0" applyFont="1" applyBorder="1" applyAlignment="1">
      <alignment horizontal="left" wrapText="1"/>
    </xf>
    <xf numFmtId="0" fontId="9" fillId="0" borderId="6" xfId="0" applyFont="1" applyBorder="1" applyAlignment="1">
      <alignment horizontal="left" vertical="center" wrapText="1"/>
    </xf>
    <xf numFmtId="0" fontId="9" fillId="0" borderId="9" xfId="0" applyFont="1" applyBorder="1" applyAlignment="1">
      <alignment horizontal="left" vertical="center" wrapText="1"/>
    </xf>
    <xf numFmtId="0" fontId="9" fillId="0" borderId="7" xfId="0" applyFont="1" applyBorder="1" applyAlignment="1">
      <alignment horizontal="left" vertical="center" wrapText="1"/>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1" fillId="3" borderId="2" xfId="0" applyFont="1" applyFill="1" applyBorder="1" applyAlignment="1">
      <alignment horizontal="right" vertical="center" indent="3"/>
    </xf>
    <xf numFmtId="0" fontId="1" fillId="3" borderId="13" xfId="0" applyFont="1" applyFill="1" applyBorder="1" applyAlignment="1">
      <alignment horizontal="right" vertical="center" indent="3"/>
    </xf>
    <xf numFmtId="0" fontId="1" fillId="3" borderId="3" xfId="0" applyFont="1" applyFill="1" applyBorder="1" applyAlignment="1">
      <alignment horizontal="right" vertical="center" indent="3"/>
    </xf>
    <xf numFmtId="0" fontId="1" fillId="3" borderId="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3" xfId="0" applyFont="1" applyFill="1" applyBorder="1" applyAlignment="1">
      <alignment horizontal="center" vertical="center" wrapText="1"/>
    </xf>
    <xf numFmtId="9" fontId="0" fillId="0" borderId="2" xfId="0" applyNumberFormat="1" applyBorder="1" applyAlignment="1">
      <alignment horizontal="center" vertical="center"/>
    </xf>
    <xf numFmtId="9" fontId="0" fillId="0" borderId="13" xfId="0" applyNumberFormat="1" applyBorder="1" applyAlignment="1">
      <alignment horizontal="center" vertical="center"/>
    </xf>
    <xf numFmtId="9" fontId="0" fillId="0" borderId="3" xfId="0" applyNumberFormat="1" applyBorder="1" applyAlignment="1">
      <alignment horizontal="center" vertical="center"/>
    </xf>
    <xf numFmtId="164" fontId="1" fillId="2" borderId="2" xfId="0" applyNumberFormat="1" applyFont="1" applyFill="1" applyBorder="1" applyAlignment="1">
      <alignment horizontal="center" vertical="center"/>
    </xf>
    <xf numFmtId="164" fontId="1" fillId="2" borderId="13"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0" fontId="7" fillId="0" borderId="4" xfId="0" applyFont="1" applyBorder="1" applyAlignment="1">
      <alignment horizontal="left"/>
    </xf>
    <xf numFmtId="0" fontId="7" fillId="0" borderId="8" xfId="0" applyFont="1" applyBorder="1" applyAlignment="1">
      <alignment horizontal="left"/>
    </xf>
    <xf numFmtId="0" fontId="7" fillId="0" borderId="5" xfId="0" applyFont="1" applyBorder="1" applyAlignment="1">
      <alignment horizontal="left"/>
    </xf>
    <xf numFmtId="0" fontId="0" fillId="3" borderId="1" xfId="0" applyFill="1" applyBorder="1" applyAlignment="1">
      <alignment horizontal="center"/>
    </xf>
    <xf numFmtId="0" fontId="1" fillId="3" borderId="1" xfId="0" applyFont="1" applyFill="1" applyBorder="1" applyAlignment="1">
      <alignment horizontal="center"/>
    </xf>
    <xf numFmtId="0" fontId="0" fillId="0" borderId="1"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57149</xdr:colOff>
      <xdr:row>40</xdr:row>
      <xdr:rowOff>95250</xdr:rowOff>
    </xdr:from>
    <xdr:ext cx="6867525" cy="590550"/>
    <xdr:sp macro="" textlink="">
      <xdr:nvSpPr>
        <xdr:cNvPr id="3" name="Rectangle 2"/>
        <xdr:cNvSpPr/>
      </xdr:nvSpPr>
      <xdr:spPr>
        <a:xfrm>
          <a:off x="57149" y="10144125"/>
          <a:ext cx="6867525" cy="590550"/>
        </a:xfrm>
        <a:prstGeom prst="rect">
          <a:avLst/>
        </a:prstGeom>
        <a:noFill/>
      </xdr:spPr>
      <xdr:txBody>
        <a:bodyPr wrap="square" lIns="91440" tIns="45720" rIns="91440" bIns="45720">
          <a:noAutofit/>
        </a:bodyPr>
        <a:lstStyle/>
        <a:p>
          <a:pPr algn="ctr"/>
          <a:r>
            <a:rPr lang="en-US" sz="3000" b="1" cap="none" spc="0">
              <a:ln w="12700">
                <a:solidFill>
                  <a:schemeClr val="accent1"/>
                </a:solidFill>
                <a:prstDash val="solid"/>
              </a:ln>
              <a:solidFill>
                <a:srgbClr val="002060"/>
              </a:solidFill>
              <a:effectLst>
                <a:outerShdw dist="38100" dir="2640000" algn="bl" rotWithShape="0">
                  <a:schemeClr val="accent1"/>
                </a:outerShdw>
              </a:effectLst>
            </a:rPr>
            <a:t>ANGLER Technologies India Pvt Ltd.,</a:t>
          </a:r>
        </a:p>
        <a:p>
          <a:pPr algn="ctr"/>
          <a:r>
            <a:rPr lang="en-US"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57149</xdr:colOff>
      <xdr:row>39</xdr:row>
      <xdr:rowOff>95250</xdr:rowOff>
    </xdr:from>
    <xdr:ext cx="6867525" cy="590550"/>
    <xdr:sp macro="" textlink="">
      <xdr:nvSpPr>
        <xdr:cNvPr id="2" name="Rectangle 1"/>
        <xdr:cNvSpPr/>
      </xdr:nvSpPr>
      <xdr:spPr>
        <a:xfrm>
          <a:off x="57149" y="10572750"/>
          <a:ext cx="6867525" cy="590550"/>
        </a:xfrm>
        <a:prstGeom prst="rect">
          <a:avLst/>
        </a:prstGeom>
        <a:noFill/>
      </xdr:spPr>
      <xdr:txBody>
        <a:bodyPr wrap="square" lIns="91440" tIns="45720" rIns="91440" bIns="45720">
          <a:noAutofit/>
        </a:bodyPr>
        <a:lstStyle/>
        <a:p>
          <a:pPr algn="ctr"/>
          <a:r>
            <a:rPr lang="en-US" sz="3000" b="1" cap="none" spc="0">
              <a:ln w="12700">
                <a:solidFill>
                  <a:schemeClr val="accent1"/>
                </a:solidFill>
                <a:prstDash val="solid"/>
              </a:ln>
              <a:solidFill>
                <a:srgbClr val="002060"/>
              </a:solidFill>
              <a:effectLst>
                <a:outerShdw dist="38100" dir="2640000" algn="bl" rotWithShape="0">
                  <a:schemeClr val="accent1"/>
                </a:outerShdw>
              </a:effectLst>
            </a:rPr>
            <a:t>ANGLER Technologies India Pvt Ltd.,</a:t>
          </a:r>
        </a:p>
        <a:p>
          <a:pPr algn="ctr"/>
          <a:r>
            <a:rPr lang="en-US"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57149</xdr:colOff>
      <xdr:row>38</xdr:row>
      <xdr:rowOff>95250</xdr:rowOff>
    </xdr:from>
    <xdr:ext cx="6867525" cy="590550"/>
    <xdr:sp macro="" textlink="">
      <xdr:nvSpPr>
        <xdr:cNvPr id="2" name="Rectangle 1"/>
        <xdr:cNvSpPr/>
      </xdr:nvSpPr>
      <xdr:spPr>
        <a:xfrm>
          <a:off x="57149" y="10572750"/>
          <a:ext cx="6867525" cy="590550"/>
        </a:xfrm>
        <a:prstGeom prst="rect">
          <a:avLst/>
        </a:prstGeom>
        <a:noFill/>
      </xdr:spPr>
      <xdr:txBody>
        <a:bodyPr wrap="square" lIns="91440" tIns="45720" rIns="91440" bIns="45720">
          <a:noAutofit/>
        </a:bodyPr>
        <a:lstStyle/>
        <a:p>
          <a:pPr algn="ctr"/>
          <a:r>
            <a:rPr lang="en-US" sz="3000" b="1" cap="none" spc="0">
              <a:ln w="12700">
                <a:solidFill>
                  <a:schemeClr val="accent1"/>
                </a:solidFill>
                <a:prstDash val="solid"/>
              </a:ln>
              <a:solidFill>
                <a:srgbClr val="002060"/>
              </a:solidFill>
              <a:effectLst>
                <a:outerShdw dist="38100" dir="2640000" algn="bl" rotWithShape="0">
                  <a:schemeClr val="accent1"/>
                </a:outerShdw>
              </a:effectLst>
            </a:rPr>
            <a:t>ANGLER Technologies India Pvt Ltd.,</a:t>
          </a:r>
        </a:p>
        <a:p>
          <a:pPr algn="ctr"/>
          <a:r>
            <a:rPr lang="en-US" sz="54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xyz.com/" TargetMode="External"/><Relationship Id="rId2" Type="http://schemas.openxmlformats.org/officeDocument/2006/relationships/hyperlink" Target="mailto:support@angleritech.com" TargetMode="External"/><Relationship Id="rId1" Type="http://schemas.openxmlformats.org/officeDocument/2006/relationships/hyperlink" Target="mailto:info@angleritech.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angleritech.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angleritech.com/" TargetMode="External"/><Relationship Id="rId2" Type="http://schemas.openxmlformats.org/officeDocument/2006/relationships/hyperlink" Target="mailto:support@angleritech.com" TargetMode="External"/><Relationship Id="rId1" Type="http://schemas.openxmlformats.org/officeDocument/2006/relationships/hyperlink" Target="mailto:info@angleritech.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www.xyz.com/" TargetMode="External"/><Relationship Id="rId2" Type="http://schemas.openxmlformats.org/officeDocument/2006/relationships/hyperlink" Target="mailto:support@angleritech.com" TargetMode="External"/><Relationship Id="rId1" Type="http://schemas.openxmlformats.org/officeDocument/2006/relationships/hyperlink" Target="mailto:info@angleritech.com"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www.angleri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7"/>
  <sheetViews>
    <sheetView topLeftCell="A7" zoomScaleNormal="100" workbookViewId="0">
      <selection activeCell="H12" sqref="H12"/>
    </sheetView>
  </sheetViews>
  <sheetFormatPr defaultRowHeight="15" x14ac:dyDescent="0.25"/>
  <cols>
    <col min="2" max="2" width="21.5703125" customWidth="1"/>
    <col min="3" max="3" width="28.42578125" customWidth="1"/>
    <col min="4" max="4" width="12.140625" customWidth="1"/>
    <col min="5" max="5" width="15.7109375" customWidth="1"/>
    <col min="6" max="6" width="19" customWidth="1"/>
  </cols>
  <sheetData>
    <row r="1" spans="2:6" x14ac:dyDescent="0.25">
      <c r="B1" s="1" t="s">
        <v>0</v>
      </c>
      <c r="C1" s="1"/>
      <c r="D1" s="1"/>
      <c r="E1" s="2" t="s">
        <v>66</v>
      </c>
      <c r="F1" s="2"/>
    </row>
    <row r="2" spans="2:6" ht="7.5" customHeight="1" x14ac:dyDescent="0.25"/>
    <row r="3" spans="2:6" ht="23.25" customHeight="1" x14ac:dyDescent="0.4">
      <c r="B3" s="31" t="s">
        <v>1</v>
      </c>
      <c r="C3" s="31"/>
      <c r="D3" s="31"/>
      <c r="E3" s="31"/>
      <c r="F3" s="31"/>
    </row>
    <row r="4" spans="2:6" ht="8.25" customHeight="1" x14ac:dyDescent="0.25"/>
    <row r="5" spans="2:6" ht="21.75" customHeight="1" x14ac:dyDescent="0.25">
      <c r="B5" s="5" t="s">
        <v>2</v>
      </c>
      <c r="C5" s="37" t="s">
        <v>44</v>
      </c>
      <c r="D5" s="38"/>
      <c r="E5" s="32" t="s">
        <v>36</v>
      </c>
      <c r="F5" s="33"/>
    </row>
    <row r="6" spans="2:6" ht="20.100000000000001" customHeight="1" x14ac:dyDescent="0.25">
      <c r="B6" s="29" t="s">
        <v>3</v>
      </c>
      <c r="C6" s="39" t="s">
        <v>38</v>
      </c>
      <c r="D6" s="40"/>
      <c r="E6" s="34"/>
      <c r="F6" s="35"/>
    </row>
    <row r="7" spans="2:6" ht="20.100000000000001" customHeight="1" x14ac:dyDescent="0.25">
      <c r="B7" s="30"/>
      <c r="C7" s="39" t="s">
        <v>39</v>
      </c>
      <c r="D7" s="40"/>
      <c r="E7" s="3" t="s">
        <v>10</v>
      </c>
      <c r="F7" s="13">
        <v>216675</v>
      </c>
    </row>
    <row r="8" spans="2:6" ht="20.100000000000001" customHeight="1" x14ac:dyDescent="0.25">
      <c r="B8" s="6" t="s">
        <v>4</v>
      </c>
      <c r="C8" s="39" t="s">
        <v>40</v>
      </c>
      <c r="D8" s="40"/>
      <c r="E8" s="3" t="s">
        <v>11</v>
      </c>
      <c r="F8" s="14">
        <v>42698</v>
      </c>
    </row>
    <row r="9" spans="2:6" ht="20.100000000000001" customHeight="1" x14ac:dyDescent="0.25">
      <c r="B9" s="6" t="s">
        <v>5</v>
      </c>
      <c r="C9" s="39" t="s">
        <v>41</v>
      </c>
      <c r="D9" s="40"/>
      <c r="E9" s="3" t="s">
        <v>12</v>
      </c>
      <c r="F9" s="16" t="s">
        <v>58</v>
      </c>
    </row>
    <row r="10" spans="2:6" ht="20.100000000000001" customHeight="1" x14ac:dyDescent="0.25">
      <c r="B10" s="6" t="s">
        <v>6</v>
      </c>
      <c r="C10" s="39">
        <v>9361663946</v>
      </c>
      <c r="D10" s="40"/>
      <c r="E10" s="3" t="s">
        <v>13</v>
      </c>
      <c r="F10" s="16" t="s">
        <v>59</v>
      </c>
    </row>
    <row r="11" spans="2:6" ht="20.100000000000001" customHeight="1" x14ac:dyDescent="0.25">
      <c r="B11" s="6" t="s">
        <v>7</v>
      </c>
      <c r="C11" s="41" t="s">
        <v>37</v>
      </c>
      <c r="D11" s="42"/>
      <c r="E11" s="3" t="s">
        <v>14</v>
      </c>
      <c r="F11" s="16" t="s">
        <v>50</v>
      </c>
    </row>
    <row r="12" spans="2:6" ht="20.100000000000001" customHeight="1" x14ac:dyDescent="0.25">
      <c r="B12" s="6" t="s">
        <v>8</v>
      </c>
      <c r="C12" s="37" t="s">
        <v>42</v>
      </c>
      <c r="D12" s="38"/>
      <c r="E12" s="3" t="s">
        <v>15</v>
      </c>
      <c r="F12" s="16" t="s">
        <v>50</v>
      </c>
    </row>
    <row r="13" spans="2:6" ht="20.100000000000001" customHeight="1" x14ac:dyDescent="0.25">
      <c r="B13" s="6" t="s">
        <v>9</v>
      </c>
      <c r="C13" s="37" t="s">
        <v>43</v>
      </c>
      <c r="D13" s="38"/>
      <c r="E13" s="3" t="s">
        <v>16</v>
      </c>
      <c r="F13" s="16" t="s">
        <v>50</v>
      </c>
    </row>
    <row r="14" spans="2:6" ht="7.5" customHeight="1" x14ac:dyDescent="0.25"/>
    <row r="15" spans="2:6" ht="21.75" customHeight="1" x14ac:dyDescent="0.25">
      <c r="B15" s="49" t="s">
        <v>17</v>
      </c>
      <c r="C15" s="49" t="s">
        <v>18</v>
      </c>
      <c r="D15" s="36" t="s">
        <v>19</v>
      </c>
      <c r="E15" s="36" t="s">
        <v>60</v>
      </c>
      <c r="F15" s="5" t="s">
        <v>20</v>
      </c>
    </row>
    <row r="16" spans="2:6" ht="16.5" customHeight="1" x14ac:dyDescent="0.25">
      <c r="B16" s="50"/>
      <c r="C16" s="50"/>
      <c r="D16" s="36"/>
      <c r="E16" s="36"/>
      <c r="F16" s="5" t="s">
        <v>21</v>
      </c>
    </row>
    <row r="17" spans="2:6" ht="27.75" customHeight="1" x14ac:dyDescent="0.25">
      <c r="B17" s="23" t="s">
        <v>62</v>
      </c>
      <c r="C17" s="17" t="s">
        <v>45</v>
      </c>
      <c r="D17" s="3" t="s">
        <v>46</v>
      </c>
      <c r="E17" s="26" t="s">
        <v>61</v>
      </c>
      <c r="F17" s="18">
        <v>850</v>
      </c>
    </row>
    <row r="18" spans="2:6" ht="29.25" customHeight="1" x14ac:dyDescent="0.25">
      <c r="B18" s="25" t="s">
        <v>63</v>
      </c>
      <c r="C18" s="15" t="s">
        <v>64</v>
      </c>
      <c r="D18" s="3" t="s">
        <v>46</v>
      </c>
      <c r="E18" s="26" t="s">
        <v>61</v>
      </c>
      <c r="F18" s="18">
        <v>4500</v>
      </c>
    </row>
    <row r="19" spans="2:6" ht="29.25" customHeight="1" x14ac:dyDescent="0.25">
      <c r="B19" s="51" t="s">
        <v>73</v>
      </c>
      <c r="C19" s="52"/>
      <c r="D19" s="3" t="s">
        <v>46</v>
      </c>
      <c r="E19" s="26" t="s">
        <v>61</v>
      </c>
      <c r="F19" s="18">
        <v>1000</v>
      </c>
    </row>
    <row r="20" spans="2:6" ht="18" customHeight="1" x14ac:dyDescent="0.25">
      <c r="B20" s="53" t="s">
        <v>51</v>
      </c>
      <c r="C20" s="54"/>
      <c r="D20" s="54"/>
      <c r="E20" s="55"/>
      <c r="F20" s="19">
        <f>SUM(F17:F19)</f>
        <v>6350</v>
      </c>
    </row>
    <row r="21" spans="2:6" ht="17.25" customHeight="1" x14ac:dyDescent="0.25">
      <c r="B21" s="53" t="s">
        <v>22</v>
      </c>
      <c r="C21" s="54"/>
      <c r="D21" s="54"/>
      <c r="E21" s="55"/>
      <c r="F21" s="19">
        <f>F20*15%</f>
        <v>952.5</v>
      </c>
    </row>
    <row r="22" spans="2:6" ht="16.5" customHeight="1" x14ac:dyDescent="0.25">
      <c r="B22" s="53" t="s">
        <v>23</v>
      </c>
      <c r="C22" s="54"/>
      <c r="D22" s="54"/>
      <c r="E22" s="55"/>
      <c r="F22" s="19">
        <f>SUM(F20:F21)</f>
        <v>7302.5</v>
      </c>
    </row>
    <row r="23" spans="2:6" ht="8.25" customHeight="1" x14ac:dyDescent="0.25"/>
    <row r="24" spans="2:6" ht="19.5" customHeight="1" x14ac:dyDescent="0.25">
      <c r="B24" s="20" t="s">
        <v>24</v>
      </c>
      <c r="C24" s="56" t="s">
        <v>65</v>
      </c>
      <c r="D24" s="57"/>
      <c r="E24" s="57"/>
      <c r="F24" s="58"/>
    </row>
    <row r="25" spans="2:6" ht="16.5" customHeight="1" x14ac:dyDescent="0.25">
      <c r="B25" s="4" t="s">
        <v>25</v>
      </c>
      <c r="C25" s="59" t="s">
        <v>69</v>
      </c>
      <c r="D25" s="60"/>
      <c r="E25" s="60"/>
      <c r="F25" s="61"/>
    </row>
    <row r="26" spans="2:6" ht="19.5" customHeight="1" x14ac:dyDescent="0.25">
      <c r="B26" s="4" t="s">
        <v>26</v>
      </c>
      <c r="C26" s="62">
        <f>F22</f>
        <v>7302.5</v>
      </c>
      <c r="D26" s="63"/>
      <c r="E26" s="63"/>
      <c r="F26" s="64"/>
    </row>
    <row r="27" spans="2:6" ht="6" customHeight="1" x14ac:dyDescent="0.25">
      <c r="B27" s="21"/>
      <c r="C27" s="22"/>
      <c r="D27" s="22"/>
      <c r="E27" s="22"/>
      <c r="F27" s="22"/>
    </row>
    <row r="28" spans="2:6" x14ac:dyDescent="0.25">
      <c r="B28" s="65" t="s">
        <v>47</v>
      </c>
      <c r="C28" s="66"/>
      <c r="D28" s="66"/>
      <c r="E28" s="66"/>
      <c r="F28" s="67"/>
    </row>
    <row r="29" spans="2:6" ht="38.25" customHeight="1" x14ac:dyDescent="0.25">
      <c r="B29" s="43" t="s">
        <v>48</v>
      </c>
      <c r="C29" s="44"/>
      <c r="D29" s="44"/>
      <c r="E29" s="44"/>
      <c r="F29" s="45"/>
    </row>
    <row r="30" spans="2:6" ht="39.75" customHeight="1" x14ac:dyDescent="0.25">
      <c r="B30" s="43" t="s">
        <v>49</v>
      </c>
      <c r="C30" s="44"/>
      <c r="D30" s="44"/>
      <c r="E30" s="44"/>
      <c r="F30" s="45"/>
    </row>
    <row r="31" spans="2:6" ht="29.25" customHeight="1" x14ac:dyDescent="0.25">
      <c r="B31" s="43" t="s">
        <v>52</v>
      </c>
      <c r="C31" s="44"/>
      <c r="D31" s="44"/>
      <c r="E31" s="44"/>
      <c r="F31" s="45"/>
    </row>
    <row r="32" spans="2:6" ht="43.5" customHeight="1" x14ac:dyDescent="0.25">
      <c r="B32" s="43" t="s">
        <v>53</v>
      </c>
      <c r="C32" s="44"/>
      <c r="D32" s="44"/>
      <c r="E32" s="44"/>
      <c r="F32" s="45"/>
    </row>
    <row r="33" spans="2:6" ht="51" customHeight="1" x14ac:dyDescent="0.25">
      <c r="B33" s="43" t="s">
        <v>54</v>
      </c>
      <c r="C33" s="44"/>
      <c r="D33" s="44"/>
      <c r="E33" s="44"/>
      <c r="F33" s="45"/>
    </row>
    <row r="34" spans="2:6" ht="32.25" customHeight="1" x14ac:dyDescent="0.25">
      <c r="B34" s="46" t="s">
        <v>55</v>
      </c>
      <c r="C34" s="47"/>
      <c r="D34" s="47"/>
      <c r="E34" s="47"/>
      <c r="F34" s="48"/>
    </row>
    <row r="35" spans="2:6" ht="11.25" customHeight="1" x14ac:dyDescent="0.25"/>
    <row r="36" spans="2:6" x14ac:dyDescent="0.25">
      <c r="B36" s="70"/>
      <c r="C36" s="70"/>
      <c r="D36" s="70"/>
      <c r="E36" s="70"/>
      <c r="F36" s="70"/>
    </row>
    <row r="37" spans="2:6" x14ac:dyDescent="0.25">
      <c r="B37" s="70"/>
      <c r="C37" s="70"/>
      <c r="D37" s="70"/>
      <c r="E37" s="70"/>
      <c r="F37" s="70"/>
    </row>
    <row r="38" spans="2:6" ht="19.5" customHeight="1" x14ac:dyDescent="0.25">
      <c r="B38" s="70"/>
      <c r="C38" s="70"/>
      <c r="D38" s="70"/>
      <c r="E38" s="70"/>
      <c r="F38" s="70"/>
    </row>
    <row r="39" spans="2:6" x14ac:dyDescent="0.25">
      <c r="B39" s="68" t="s">
        <v>27</v>
      </c>
      <c r="C39" s="68"/>
      <c r="D39" s="68" t="s">
        <v>27</v>
      </c>
      <c r="E39" s="68"/>
      <c r="F39" s="68"/>
    </row>
    <row r="40" spans="2:6" x14ac:dyDescent="0.25">
      <c r="B40" s="69" t="s">
        <v>28</v>
      </c>
      <c r="C40" s="69"/>
      <c r="D40" s="69" t="s">
        <v>29</v>
      </c>
      <c r="E40" s="69"/>
      <c r="F40" s="69"/>
    </row>
    <row r="41" spans="2:6" ht="7.5" customHeight="1" x14ac:dyDescent="0.25"/>
    <row r="42" spans="2:6" ht="33.75" x14ac:dyDescent="0.5">
      <c r="B42" s="8"/>
    </row>
    <row r="43" spans="2:6" x14ac:dyDescent="0.25">
      <c r="B43" s="7" t="s">
        <v>30</v>
      </c>
      <c r="C43" s="7"/>
      <c r="D43" s="27"/>
      <c r="E43" s="28" t="s">
        <v>33</v>
      </c>
      <c r="F43" s="12"/>
    </row>
    <row r="44" spans="2:6" x14ac:dyDescent="0.25">
      <c r="B44" s="7" t="s">
        <v>31</v>
      </c>
      <c r="C44" s="7"/>
      <c r="D44" s="27"/>
      <c r="E44" s="28" t="s">
        <v>34</v>
      </c>
      <c r="F44" s="12"/>
    </row>
    <row r="45" spans="2:6" x14ac:dyDescent="0.25">
      <c r="B45" s="7" t="s">
        <v>32</v>
      </c>
      <c r="C45" s="7"/>
      <c r="D45" s="27"/>
      <c r="E45" s="28" t="s">
        <v>35</v>
      </c>
      <c r="F45" s="12"/>
    </row>
    <row r="46" spans="2:6" ht="5.25" customHeight="1" x14ac:dyDescent="0.25"/>
    <row r="47" spans="2:6" x14ac:dyDescent="0.25">
      <c r="B47" s="9" t="s">
        <v>57</v>
      </c>
      <c r="C47" s="10"/>
      <c r="D47" s="10"/>
      <c r="E47" s="10"/>
      <c r="F47" s="11" t="s">
        <v>56</v>
      </c>
    </row>
  </sheetData>
  <mergeCells count="36">
    <mergeCell ref="D39:F39"/>
    <mergeCell ref="D40:F40"/>
    <mergeCell ref="B39:C39"/>
    <mergeCell ref="B40:C40"/>
    <mergeCell ref="B36:C38"/>
    <mergeCell ref="D36:F38"/>
    <mergeCell ref="B32:F32"/>
    <mergeCell ref="B33:F33"/>
    <mergeCell ref="B34:F34"/>
    <mergeCell ref="C15:C16"/>
    <mergeCell ref="B19:C19"/>
    <mergeCell ref="B15:B16"/>
    <mergeCell ref="B21:E21"/>
    <mergeCell ref="B22:E22"/>
    <mergeCell ref="B20:E20"/>
    <mergeCell ref="C24:F24"/>
    <mergeCell ref="C25:F25"/>
    <mergeCell ref="C26:F26"/>
    <mergeCell ref="B28:F28"/>
    <mergeCell ref="B29:F29"/>
    <mergeCell ref="B30:F30"/>
    <mergeCell ref="B31:F31"/>
    <mergeCell ref="B6:B7"/>
    <mergeCell ref="B3:F3"/>
    <mergeCell ref="E5:F6"/>
    <mergeCell ref="D15:D16"/>
    <mergeCell ref="E15:E16"/>
    <mergeCell ref="C5:D5"/>
    <mergeCell ref="C6:D6"/>
    <mergeCell ref="C7:D7"/>
    <mergeCell ref="C8:D8"/>
    <mergeCell ref="C9:D9"/>
    <mergeCell ref="C10:D10"/>
    <mergeCell ref="C11:D11"/>
    <mergeCell ref="C12:D12"/>
    <mergeCell ref="C13:D13"/>
  </mergeCells>
  <dataValidations count="5">
    <dataValidation type="list" allowBlank="1" showInputMessage="1" showErrorMessage="1" sqref="F10">
      <formula1>"CBE,CHN,Offshore,HO,HO Renewals,HO Exports,AU,CA,HK,SG,USA,UK,iTech,Admin"</formula1>
    </dataValidation>
    <dataValidation type="list" allowBlank="1" showInputMessage="1" showErrorMessage="1" sqref="F12:F13">
      <formula1>"Admin"</formula1>
    </dataValidation>
    <dataValidation type="list" allowBlank="1" showInputMessage="1" showErrorMessage="1" sqref="D17">
      <formula1>"1 year,2 years,3 years,4 years, 5 years"</formula1>
    </dataValidation>
    <dataValidation type="list" allowBlank="1" showInputMessage="1" showErrorMessage="1" sqref="D18:D19">
      <formula1>"1 year,2 years,3 years,4 years, 5 years,3 months,6 months"</formula1>
    </dataValidation>
    <dataValidation type="list" allowBlank="1" showInputMessage="1" showErrorMessage="1" sqref="G13:H13">
      <formula1>"Web,Multimedia,SEO,Design,Opensource,Microsoft,Mobile,IMS,Admin"</formula1>
    </dataValidation>
  </dataValidations>
  <hyperlinks>
    <hyperlink ref="C11" r:id="rId1"/>
    <hyperlink ref="B47" r:id="rId2"/>
    <hyperlink ref="C17" r:id="rId3"/>
    <hyperlink ref="E1" r:id="rId4" display="www.angleritech.com"/>
  </hyperlinks>
  <pageMargins left="0.78740157480314965" right="0.59055118110236227" top="0.59055118110236227" bottom="0.39370078740157483" header="0.31496062992125984" footer="0.31496062992125984"/>
  <pageSetup paperSize="9" scale="85"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6"/>
  <sheetViews>
    <sheetView topLeftCell="A13" workbookViewId="0">
      <selection activeCell="B19" sqref="B19:E19"/>
    </sheetView>
  </sheetViews>
  <sheetFormatPr defaultRowHeight="15" x14ac:dyDescent="0.25"/>
  <cols>
    <col min="2" max="2" width="21.5703125" customWidth="1"/>
    <col min="3" max="3" width="28.42578125" customWidth="1"/>
    <col min="4" max="4" width="12.140625" customWidth="1"/>
    <col min="5" max="5" width="15.7109375" customWidth="1"/>
    <col min="6" max="6" width="19" customWidth="1"/>
  </cols>
  <sheetData>
    <row r="1" spans="2:6" x14ac:dyDescent="0.25">
      <c r="B1" s="1" t="s">
        <v>0</v>
      </c>
      <c r="C1" s="1"/>
      <c r="D1" s="1"/>
      <c r="E1" s="2" t="s">
        <v>66</v>
      </c>
      <c r="F1" s="2"/>
    </row>
    <row r="2" spans="2:6" ht="7.5" customHeight="1" x14ac:dyDescent="0.25"/>
    <row r="3" spans="2:6" ht="23.25" customHeight="1" x14ac:dyDescent="0.4">
      <c r="B3" s="31" t="s">
        <v>1</v>
      </c>
      <c r="C3" s="31"/>
      <c r="D3" s="31"/>
      <c r="E3" s="31"/>
      <c r="F3" s="31"/>
    </row>
    <row r="4" spans="2:6" ht="8.25" customHeight="1" x14ac:dyDescent="0.25"/>
    <row r="5" spans="2:6" ht="21.75" customHeight="1" x14ac:dyDescent="0.25">
      <c r="B5" s="5" t="s">
        <v>2</v>
      </c>
      <c r="C5" s="37" t="s">
        <v>44</v>
      </c>
      <c r="D5" s="38"/>
      <c r="E5" s="32" t="s">
        <v>36</v>
      </c>
      <c r="F5" s="33"/>
    </row>
    <row r="6" spans="2:6" ht="20.100000000000001" customHeight="1" x14ac:dyDescent="0.25">
      <c r="B6" s="29" t="s">
        <v>3</v>
      </c>
      <c r="C6" s="39" t="s">
        <v>38</v>
      </c>
      <c r="D6" s="40"/>
      <c r="E6" s="34"/>
      <c r="F6" s="35"/>
    </row>
    <row r="7" spans="2:6" ht="20.100000000000001" customHeight="1" x14ac:dyDescent="0.25">
      <c r="B7" s="30"/>
      <c r="C7" s="39" t="s">
        <v>39</v>
      </c>
      <c r="D7" s="40"/>
      <c r="E7" s="3" t="s">
        <v>10</v>
      </c>
      <c r="F7" s="13">
        <v>216675</v>
      </c>
    </row>
    <row r="8" spans="2:6" ht="20.100000000000001" customHeight="1" x14ac:dyDescent="0.25">
      <c r="B8" s="6" t="s">
        <v>4</v>
      </c>
      <c r="C8" s="39" t="s">
        <v>40</v>
      </c>
      <c r="D8" s="40"/>
      <c r="E8" s="3" t="s">
        <v>11</v>
      </c>
      <c r="F8" s="14">
        <v>42698</v>
      </c>
    </row>
    <row r="9" spans="2:6" ht="20.100000000000001" customHeight="1" x14ac:dyDescent="0.25">
      <c r="B9" s="6" t="s">
        <v>5</v>
      </c>
      <c r="C9" s="39" t="s">
        <v>41</v>
      </c>
      <c r="D9" s="40"/>
      <c r="E9" s="3" t="s">
        <v>12</v>
      </c>
      <c r="F9" s="16" t="s">
        <v>58</v>
      </c>
    </row>
    <row r="10" spans="2:6" ht="20.100000000000001" customHeight="1" x14ac:dyDescent="0.25">
      <c r="B10" s="6" t="s">
        <v>6</v>
      </c>
      <c r="C10" s="39">
        <v>9361663946</v>
      </c>
      <c r="D10" s="40"/>
      <c r="E10" s="3" t="s">
        <v>13</v>
      </c>
      <c r="F10" s="16" t="s">
        <v>59</v>
      </c>
    </row>
    <row r="11" spans="2:6" ht="20.100000000000001" customHeight="1" x14ac:dyDescent="0.25">
      <c r="B11" s="6" t="s">
        <v>7</v>
      </c>
      <c r="C11" s="41" t="s">
        <v>37</v>
      </c>
      <c r="D11" s="42"/>
      <c r="E11" s="3" t="s">
        <v>14</v>
      </c>
      <c r="F11" s="16" t="s">
        <v>50</v>
      </c>
    </row>
    <row r="12" spans="2:6" ht="20.100000000000001" customHeight="1" x14ac:dyDescent="0.25">
      <c r="B12" s="6" t="s">
        <v>8</v>
      </c>
      <c r="C12" s="37" t="s">
        <v>42</v>
      </c>
      <c r="D12" s="38"/>
      <c r="E12" s="3" t="s">
        <v>15</v>
      </c>
      <c r="F12" s="16" t="s">
        <v>50</v>
      </c>
    </row>
    <row r="13" spans="2:6" ht="20.100000000000001" customHeight="1" x14ac:dyDescent="0.25">
      <c r="B13" s="6" t="s">
        <v>9</v>
      </c>
      <c r="C13" s="37" t="s">
        <v>43</v>
      </c>
      <c r="D13" s="38"/>
      <c r="E13" s="3" t="s">
        <v>16</v>
      </c>
      <c r="F13" s="16" t="s">
        <v>50</v>
      </c>
    </row>
    <row r="14" spans="2:6" ht="7.5" customHeight="1" x14ac:dyDescent="0.25"/>
    <row r="15" spans="2:6" ht="21.75" customHeight="1" x14ac:dyDescent="0.25">
      <c r="B15" s="49" t="s">
        <v>17</v>
      </c>
      <c r="C15" s="49" t="s">
        <v>18</v>
      </c>
      <c r="D15" s="36" t="s">
        <v>19</v>
      </c>
      <c r="E15" s="36" t="s">
        <v>60</v>
      </c>
      <c r="F15" s="5" t="s">
        <v>20</v>
      </c>
    </row>
    <row r="16" spans="2:6" ht="16.5" customHeight="1" x14ac:dyDescent="0.25">
      <c r="B16" s="50"/>
      <c r="C16" s="50"/>
      <c r="D16" s="36"/>
      <c r="E16" s="36"/>
      <c r="F16" s="5" t="s">
        <v>21</v>
      </c>
    </row>
    <row r="17" spans="2:6" ht="29.25" customHeight="1" x14ac:dyDescent="0.25">
      <c r="B17" s="25" t="s">
        <v>71</v>
      </c>
      <c r="C17" s="24" t="s">
        <v>70</v>
      </c>
      <c r="D17" s="3" t="s">
        <v>46</v>
      </c>
      <c r="E17" s="26" t="s">
        <v>61</v>
      </c>
      <c r="F17" s="18">
        <v>4500</v>
      </c>
    </row>
    <row r="18" spans="2:6" ht="29.25" customHeight="1" x14ac:dyDescent="0.25">
      <c r="B18" s="51" t="s">
        <v>74</v>
      </c>
      <c r="C18" s="52"/>
      <c r="D18" s="3" t="s">
        <v>46</v>
      </c>
      <c r="E18" s="26" t="s">
        <v>61</v>
      </c>
      <c r="F18" s="18">
        <v>875</v>
      </c>
    </row>
    <row r="19" spans="2:6" ht="18" customHeight="1" x14ac:dyDescent="0.25">
      <c r="B19" s="53" t="s">
        <v>51</v>
      </c>
      <c r="C19" s="54"/>
      <c r="D19" s="54"/>
      <c r="E19" s="55"/>
      <c r="F19" s="19">
        <f>SUM(F17:F18)</f>
        <v>5375</v>
      </c>
    </row>
    <row r="20" spans="2:6" ht="17.25" customHeight="1" x14ac:dyDescent="0.25">
      <c r="B20" s="53" t="s">
        <v>22</v>
      </c>
      <c r="C20" s="54"/>
      <c r="D20" s="54"/>
      <c r="E20" s="55"/>
      <c r="F20" s="19">
        <f>F19*15%</f>
        <v>806.25</v>
      </c>
    </row>
    <row r="21" spans="2:6" ht="16.5" customHeight="1" x14ac:dyDescent="0.25">
      <c r="B21" s="53" t="s">
        <v>23</v>
      </c>
      <c r="C21" s="54"/>
      <c r="D21" s="54"/>
      <c r="E21" s="55"/>
      <c r="F21" s="19">
        <f>SUM(F19:F20)</f>
        <v>6181.25</v>
      </c>
    </row>
    <row r="22" spans="2:6" ht="8.25" customHeight="1" x14ac:dyDescent="0.25"/>
    <row r="23" spans="2:6" ht="19.5" customHeight="1" x14ac:dyDescent="0.25">
      <c r="B23" s="20" t="s">
        <v>24</v>
      </c>
      <c r="C23" s="56" t="s">
        <v>72</v>
      </c>
      <c r="D23" s="57"/>
      <c r="E23" s="57"/>
      <c r="F23" s="58"/>
    </row>
    <row r="24" spans="2:6" ht="16.5" customHeight="1" x14ac:dyDescent="0.25">
      <c r="B24" s="4" t="s">
        <v>25</v>
      </c>
      <c r="C24" s="59" t="s">
        <v>69</v>
      </c>
      <c r="D24" s="60"/>
      <c r="E24" s="60"/>
      <c r="F24" s="61"/>
    </row>
    <row r="25" spans="2:6" ht="19.5" customHeight="1" x14ac:dyDescent="0.25">
      <c r="B25" s="4" t="s">
        <v>26</v>
      </c>
      <c r="C25" s="62">
        <f>F21</f>
        <v>6181.25</v>
      </c>
      <c r="D25" s="63"/>
      <c r="E25" s="63"/>
      <c r="F25" s="64"/>
    </row>
    <row r="26" spans="2:6" ht="6" customHeight="1" x14ac:dyDescent="0.25">
      <c r="B26" s="21"/>
      <c r="C26" s="22"/>
      <c r="D26" s="22"/>
      <c r="E26" s="22"/>
      <c r="F26" s="22"/>
    </row>
    <row r="27" spans="2:6" x14ac:dyDescent="0.25">
      <c r="B27" s="65" t="s">
        <v>47</v>
      </c>
      <c r="C27" s="66"/>
      <c r="D27" s="66"/>
      <c r="E27" s="66"/>
      <c r="F27" s="67"/>
    </row>
    <row r="28" spans="2:6" ht="38.25" customHeight="1" x14ac:dyDescent="0.25">
      <c r="B28" s="43" t="s">
        <v>48</v>
      </c>
      <c r="C28" s="44"/>
      <c r="D28" s="44"/>
      <c r="E28" s="44"/>
      <c r="F28" s="45"/>
    </row>
    <row r="29" spans="2:6" ht="39.75" customHeight="1" x14ac:dyDescent="0.25">
      <c r="B29" s="43" t="s">
        <v>49</v>
      </c>
      <c r="C29" s="44"/>
      <c r="D29" s="44"/>
      <c r="E29" s="44"/>
      <c r="F29" s="45"/>
    </row>
    <row r="30" spans="2:6" ht="29.25" customHeight="1" x14ac:dyDescent="0.25">
      <c r="B30" s="43" t="s">
        <v>52</v>
      </c>
      <c r="C30" s="44"/>
      <c r="D30" s="44"/>
      <c r="E30" s="44"/>
      <c r="F30" s="45"/>
    </row>
    <row r="31" spans="2:6" ht="43.5" customHeight="1" x14ac:dyDescent="0.25">
      <c r="B31" s="43" t="s">
        <v>53</v>
      </c>
      <c r="C31" s="44"/>
      <c r="D31" s="44"/>
      <c r="E31" s="44"/>
      <c r="F31" s="45"/>
    </row>
    <row r="32" spans="2:6" ht="51" customHeight="1" x14ac:dyDescent="0.25">
      <c r="B32" s="43" t="s">
        <v>54</v>
      </c>
      <c r="C32" s="44"/>
      <c r="D32" s="44"/>
      <c r="E32" s="44"/>
      <c r="F32" s="45"/>
    </row>
    <row r="33" spans="2:6" ht="32.25" customHeight="1" x14ac:dyDescent="0.25">
      <c r="B33" s="46" t="s">
        <v>55</v>
      </c>
      <c r="C33" s="47"/>
      <c r="D33" s="47"/>
      <c r="E33" s="47"/>
      <c r="F33" s="48"/>
    </row>
    <row r="34" spans="2:6" ht="11.25" customHeight="1" x14ac:dyDescent="0.25"/>
    <row r="35" spans="2:6" x14ac:dyDescent="0.25">
      <c r="B35" s="70"/>
      <c r="C35" s="70"/>
      <c r="D35" s="70"/>
      <c r="E35" s="70"/>
      <c r="F35" s="70"/>
    </row>
    <row r="36" spans="2:6" x14ac:dyDescent="0.25">
      <c r="B36" s="70"/>
      <c r="C36" s="70"/>
      <c r="D36" s="70"/>
      <c r="E36" s="70"/>
      <c r="F36" s="70"/>
    </row>
    <row r="37" spans="2:6" ht="19.5" customHeight="1" x14ac:dyDescent="0.25">
      <c r="B37" s="70"/>
      <c r="C37" s="70"/>
      <c r="D37" s="70"/>
      <c r="E37" s="70"/>
      <c r="F37" s="70"/>
    </row>
    <row r="38" spans="2:6" x14ac:dyDescent="0.25">
      <c r="B38" s="68" t="s">
        <v>27</v>
      </c>
      <c r="C38" s="68"/>
      <c r="D38" s="68" t="s">
        <v>27</v>
      </c>
      <c r="E38" s="68"/>
      <c r="F38" s="68"/>
    </row>
    <row r="39" spans="2:6" x14ac:dyDescent="0.25">
      <c r="B39" s="69" t="s">
        <v>28</v>
      </c>
      <c r="C39" s="69"/>
      <c r="D39" s="69" t="s">
        <v>29</v>
      </c>
      <c r="E39" s="69"/>
      <c r="F39" s="69"/>
    </row>
    <row r="40" spans="2:6" ht="7.5" customHeight="1" x14ac:dyDescent="0.25"/>
    <row r="41" spans="2:6" ht="33.75" x14ac:dyDescent="0.5">
      <c r="B41" s="8"/>
    </row>
    <row r="42" spans="2:6" x14ac:dyDescent="0.25">
      <c r="B42" s="7" t="s">
        <v>30</v>
      </c>
      <c r="C42" s="7"/>
      <c r="D42" s="27"/>
      <c r="E42" s="28" t="s">
        <v>33</v>
      </c>
      <c r="F42" s="12"/>
    </row>
    <row r="43" spans="2:6" x14ac:dyDescent="0.25">
      <c r="B43" s="7" t="s">
        <v>31</v>
      </c>
      <c r="C43" s="7"/>
      <c r="D43" s="27"/>
      <c r="E43" s="28" t="s">
        <v>34</v>
      </c>
      <c r="F43" s="12"/>
    </row>
    <row r="44" spans="2:6" x14ac:dyDescent="0.25">
      <c r="B44" s="7" t="s">
        <v>32</v>
      </c>
      <c r="C44" s="7"/>
      <c r="D44" s="27"/>
      <c r="E44" s="28" t="s">
        <v>35</v>
      </c>
      <c r="F44" s="12"/>
    </row>
    <row r="45" spans="2:6" ht="5.25" customHeight="1" x14ac:dyDescent="0.25"/>
    <row r="46" spans="2:6" x14ac:dyDescent="0.25">
      <c r="B46" s="9" t="s">
        <v>57</v>
      </c>
      <c r="C46" s="10"/>
      <c r="D46" s="10"/>
      <c r="E46" s="10"/>
      <c r="F46" s="11" t="s">
        <v>56</v>
      </c>
    </row>
  </sheetData>
  <mergeCells count="36">
    <mergeCell ref="B35:C37"/>
    <mergeCell ref="D35:F37"/>
    <mergeCell ref="B38:C38"/>
    <mergeCell ref="D38:F38"/>
    <mergeCell ref="B39:C39"/>
    <mergeCell ref="D39:F39"/>
    <mergeCell ref="B33:F33"/>
    <mergeCell ref="B20:E20"/>
    <mergeCell ref="B21:E21"/>
    <mergeCell ref="C23:F23"/>
    <mergeCell ref="C24:F24"/>
    <mergeCell ref="C25:F25"/>
    <mergeCell ref="B27:F27"/>
    <mergeCell ref="B28:F28"/>
    <mergeCell ref="B29:F29"/>
    <mergeCell ref="B30:F30"/>
    <mergeCell ref="B31:F31"/>
    <mergeCell ref="B32:F32"/>
    <mergeCell ref="B19:E19"/>
    <mergeCell ref="C8:D8"/>
    <mergeCell ref="C9:D9"/>
    <mergeCell ref="C10:D10"/>
    <mergeCell ref="C11:D11"/>
    <mergeCell ref="C12:D12"/>
    <mergeCell ref="C13:D13"/>
    <mergeCell ref="B15:B16"/>
    <mergeCell ref="C15:C16"/>
    <mergeCell ref="D15:D16"/>
    <mergeCell ref="E15:E16"/>
    <mergeCell ref="B18:C18"/>
    <mergeCell ref="B3:F3"/>
    <mergeCell ref="C5:D5"/>
    <mergeCell ref="E5:F6"/>
    <mergeCell ref="B6:B7"/>
    <mergeCell ref="C6:D6"/>
    <mergeCell ref="C7:D7"/>
  </mergeCells>
  <dataValidations count="4">
    <dataValidation type="list" allowBlank="1" showInputMessage="1" showErrorMessage="1" sqref="G13:H13">
      <formula1>"Web,Multimedia,SEO,Design,Opensource,Microsoft,Mobile,IMS,Admin"</formula1>
    </dataValidation>
    <dataValidation type="list" allowBlank="1" showInputMessage="1" showErrorMessage="1" sqref="D17:D18">
      <formula1>"1 year,2 years,3 years,4 years, 5 years,3 months,6 months"</formula1>
    </dataValidation>
    <dataValidation type="list" allowBlank="1" showInputMessage="1" showErrorMessage="1" sqref="F12:F13">
      <formula1>"Admin"</formula1>
    </dataValidation>
    <dataValidation type="list" allowBlank="1" showInputMessage="1" showErrorMessage="1" sqref="F10">
      <formula1>"CBE,CHN,Offshore,HO,HO Renewals,HO Exports,AU,CA,HK,SG,USA,UK,iTech,Admin"</formula1>
    </dataValidation>
  </dataValidations>
  <hyperlinks>
    <hyperlink ref="C11" r:id="rId1"/>
    <hyperlink ref="B46" r:id="rId2"/>
    <hyperlink ref="E1" r:id="rId3" display="www.angleritech.com"/>
  </hyperlinks>
  <pageMargins left="0.78740157480314965" right="0.59055118110236227" top="0.59055118110236227" bottom="0.39370078740157483" header="0.31496062992125984" footer="0.31496062992125984"/>
  <pageSetup paperSize="9" scale="85"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5"/>
  <sheetViews>
    <sheetView tabSelected="1" workbookViewId="0">
      <selection activeCell="H11" sqref="H11"/>
    </sheetView>
  </sheetViews>
  <sheetFormatPr defaultRowHeight="15" x14ac:dyDescent="0.25"/>
  <cols>
    <col min="2" max="2" width="23.85546875" customWidth="1"/>
    <col min="3" max="3" width="28.42578125" customWidth="1"/>
    <col min="4" max="4" width="12.140625" customWidth="1"/>
    <col min="5" max="5" width="15.7109375" customWidth="1"/>
    <col min="6" max="6" width="19" customWidth="1"/>
  </cols>
  <sheetData>
    <row r="1" spans="2:6" x14ac:dyDescent="0.25">
      <c r="B1" s="1" t="s">
        <v>0</v>
      </c>
      <c r="C1" s="1"/>
      <c r="D1" s="1"/>
      <c r="E1" s="2" t="s">
        <v>66</v>
      </c>
      <c r="F1" s="2"/>
    </row>
    <row r="2" spans="2:6" ht="7.5" customHeight="1" x14ac:dyDescent="0.25"/>
    <row r="3" spans="2:6" ht="23.25" customHeight="1" x14ac:dyDescent="0.4">
      <c r="B3" s="31" t="s">
        <v>1</v>
      </c>
      <c r="C3" s="31"/>
      <c r="D3" s="31"/>
      <c r="E3" s="31"/>
      <c r="F3" s="31"/>
    </row>
    <row r="4" spans="2:6" ht="8.25" customHeight="1" x14ac:dyDescent="0.25"/>
    <row r="5" spans="2:6" ht="21.75" customHeight="1" x14ac:dyDescent="0.25">
      <c r="B5" s="5" t="s">
        <v>2</v>
      </c>
      <c r="C5" s="37" t="s">
        <v>44</v>
      </c>
      <c r="D5" s="38"/>
      <c r="E5" s="32" t="s">
        <v>36</v>
      </c>
      <c r="F5" s="33"/>
    </row>
    <row r="6" spans="2:6" ht="20.100000000000001" customHeight="1" x14ac:dyDescent="0.25">
      <c r="B6" s="29" t="s">
        <v>3</v>
      </c>
      <c r="C6" s="39" t="s">
        <v>38</v>
      </c>
      <c r="D6" s="40"/>
      <c r="E6" s="34"/>
      <c r="F6" s="35"/>
    </row>
    <row r="7" spans="2:6" ht="20.100000000000001" customHeight="1" x14ac:dyDescent="0.25">
      <c r="B7" s="30"/>
      <c r="C7" s="39" t="s">
        <v>39</v>
      </c>
      <c r="D7" s="40"/>
      <c r="E7" s="3" t="s">
        <v>10</v>
      </c>
      <c r="F7" s="13">
        <v>216675</v>
      </c>
    </row>
    <row r="8" spans="2:6" ht="20.100000000000001" customHeight="1" x14ac:dyDescent="0.25">
      <c r="B8" s="6" t="s">
        <v>4</v>
      </c>
      <c r="C8" s="39" t="s">
        <v>40</v>
      </c>
      <c r="D8" s="40"/>
      <c r="E8" s="3" t="s">
        <v>11</v>
      </c>
      <c r="F8" s="14">
        <v>42698</v>
      </c>
    </row>
    <row r="9" spans="2:6" ht="20.100000000000001" customHeight="1" x14ac:dyDescent="0.25">
      <c r="B9" s="6" t="s">
        <v>5</v>
      </c>
      <c r="C9" s="39" t="s">
        <v>41</v>
      </c>
      <c r="D9" s="40"/>
      <c r="E9" s="3" t="s">
        <v>12</v>
      </c>
      <c r="F9" s="16" t="s">
        <v>58</v>
      </c>
    </row>
    <row r="10" spans="2:6" ht="20.100000000000001" customHeight="1" x14ac:dyDescent="0.25">
      <c r="B10" s="6" t="s">
        <v>6</v>
      </c>
      <c r="C10" s="39">
        <v>9361663946</v>
      </c>
      <c r="D10" s="40"/>
      <c r="E10" s="3" t="s">
        <v>13</v>
      </c>
      <c r="F10" s="16" t="s">
        <v>59</v>
      </c>
    </row>
    <row r="11" spans="2:6" ht="20.100000000000001" customHeight="1" x14ac:dyDescent="0.25">
      <c r="B11" s="6" t="s">
        <v>7</v>
      </c>
      <c r="C11" s="41" t="s">
        <v>37</v>
      </c>
      <c r="D11" s="42"/>
      <c r="E11" s="3" t="s">
        <v>14</v>
      </c>
      <c r="F11" s="16" t="s">
        <v>50</v>
      </c>
    </row>
    <row r="12" spans="2:6" ht="20.100000000000001" customHeight="1" x14ac:dyDescent="0.25">
      <c r="B12" s="6" t="s">
        <v>8</v>
      </c>
      <c r="C12" s="37" t="s">
        <v>42</v>
      </c>
      <c r="D12" s="38"/>
      <c r="E12" s="3" t="s">
        <v>15</v>
      </c>
      <c r="F12" s="16" t="s">
        <v>50</v>
      </c>
    </row>
    <row r="13" spans="2:6" ht="20.100000000000001" customHeight="1" x14ac:dyDescent="0.25">
      <c r="B13" s="6" t="s">
        <v>9</v>
      </c>
      <c r="C13" s="37" t="s">
        <v>43</v>
      </c>
      <c r="D13" s="38"/>
      <c r="E13" s="3" t="s">
        <v>16</v>
      </c>
      <c r="F13" s="16" t="s">
        <v>50</v>
      </c>
    </row>
    <row r="14" spans="2:6" ht="7.5" customHeight="1" x14ac:dyDescent="0.25"/>
    <row r="15" spans="2:6" ht="21.75" customHeight="1" x14ac:dyDescent="0.25">
      <c r="B15" s="49" t="s">
        <v>17</v>
      </c>
      <c r="C15" s="49" t="s">
        <v>18</v>
      </c>
      <c r="D15" s="36" t="s">
        <v>19</v>
      </c>
      <c r="E15" s="36" t="s">
        <v>60</v>
      </c>
      <c r="F15" s="5" t="s">
        <v>20</v>
      </c>
    </row>
    <row r="16" spans="2:6" ht="16.5" customHeight="1" x14ac:dyDescent="0.25">
      <c r="B16" s="50"/>
      <c r="C16" s="50"/>
      <c r="D16" s="36"/>
      <c r="E16" s="36"/>
      <c r="F16" s="5" t="s">
        <v>21</v>
      </c>
    </row>
    <row r="17" spans="2:6" ht="27.75" customHeight="1" x14ac:dyDescent="0.25">
      <c r="B17" s="23" t="s">
        <v>75</v>
      </c>
      <c r="C17" s="17" t="s">
        <v>45</v>
      </c>
      <c r="D17" s="3" t="s">
        <v>46</v>
      </c>
      <c r="E17" s="26" t="s">
        <v>61</v>
      </c>
      <c r="F17" s="18">
        <v>850</v>
      </c>
    </row>
    <row r="18" spans="2:6" ht="18" customHeight="1" x14ac:dyDescent="0.25">
      <c r="B18" s="53" t="s">
        <v>67</v>
      </c>
      <c r="C18" s="54"/>
      <c r="D18" s="54"/>
      <c r="E18" s="55"/>
      <c r="F18" s="19">
        <f>SUM(F17:F17)</f>
        <v>850</v>
      </c>
    </row>
    <row r="19" spans="2:6" ht="17.25" customHeight="1" x14ac:dyDescent="0.25">
      <c r="B19" s="53" t="s">
        <v>22</v>
      </c>
      <c r="C19" s="54"/>
      <c r="D19" s="54"/>
      <c r="E19" s="55"/>
      <c r="F19" s="19">
        <f>F18*15%</f>
        <v>127.5</v>
      </c>
    </row>
    <row r="20" spans="2:6" ht="16.5" customHeight="1" x14ac:dyDescent="0.25">
      <c r="B20" s="53" t="s">
        <v>23</v>
      </c>
      <c r="C20" s="54"/>
      <c r="D20" s="54"/>
      <c r="E20" s="55"/>
      <c r="F20" s="19">
        <f>SUM(F18:F19)</f>
        <v>977.5</v>
      </c>
    </row>
    <row r="21" spans="2:6" ht="8.25" customHeight="1" x14ac:dyDescent="0.25"/>
    <row r="22" spans="2:6" ht="19.5" customHeight="1" x14ac:dyDescent="0.25">
      <c r="B22" s="20" t="s">
        <v>24</v>
      </c>
      <c r="C22" s="56" t="s">
        <v>68</v>
      </c>
      <c r="D22" s="57"/>
      <c r="E22" s="57"/>
      <c r="F22" s="58"/>
    </row>
    <row r="23" spans="2:6" ht="16.5" customHeight="1" x14ac:dyDescent="0.25">
      <c r="B23" s="4" t="s">
        <v>25</v>
      </c>
      <c r="C23" s="59" t="s">
        <v>69</v>
      </c>
      <c r="D23" s="60"/>
      <c r="E23" s="60"/>
      <c r="F23" s="61"/>
    </row>
    <row r="24" spans="2:6" ht="19.5" customHeight="1" x14ac:dyDescent="0.25">
      <c r="B24" s="4" t="s">
        <v>26</v>
      </c>
      <c r="C24" s="62">
        <f>F20</f>
        <v>977.5</v>
      </c>
      <c r="D24" s="63"/>
      <c r="E24" s="63"/>
      <c r="F24" s="64"/>
    </row>
    <row r="25" spans="2:6" ht="6" customHeight="1" x14ac:dyDescent="0.25">
      <c r="B25" s="21"/>
      <c r="C25" s="22"/>
      <c r="D25" s="22"/>
      <c r="E25" s="22"/>
      <c r="F25" s="22"/>
    </row>
    <row r="26" spans="2:6" x14ac:dyDescent="0.25">
      <c r="B26" s="65" t="s">
        <v>47</v>
      </c>
      <c r="C26" s="66"/>
      <c r="D26" s="66"/>
      <c r="E26" s="66"/>
      <c r="F26" s="67"/>
    </row>
    <row r="27" spans="2:6" ht="38.25" customHeight="1" x14ac:dyDescent="0.25">
      <c r="B27" s="43" t="s">
        <v>48</v>
      </c>
      <c r="C27" s="44"/>
      <c r="D27" s="44"/>
      <c r="E27" s="44"/>
      <c r="F27" s="45"/>
    </row>
    <row r="28" spans="2:6" ht="39.75" customHeight="1" x14ac:dyDescent="0.25">
      <c r="B28" s="43" t="s">
        <v>49</v>
      </c>
      <c r="C28" s="44"/>
      <c r="D28" s="44"/>
      <c r="E28" s="44"/>
      <c r="F28" s="45"/>
    </row>
    <row r="29" spans="2:6" ht="29.25" customHeight="1" x14ac:dyDescent="0.25">
      <c r="B29" s="43" t="s">
        <v>52</v>
      </c>
      <c r="C29" s="44"/>
      <c r="D29" s="44"/>
      <c r="E29" s="44"/>
      <c r="F29" s="45"/>
    </row>
    <row r="30" spans="2:6" ht="43.5" customHeight="1" x14ac:dyDescent="0.25">
      <c r="B30" s="43" t="s">
        <v>53</v>
      </c>
      <c r="C30" s="44"/>
      <c r="D30" s="44"/>
      <c r="E30" s="44"/>
      <c r="F30" s="45"/>
    </row>
    <row r="31" spans="2:6" ht="51" customHeight="1" x14ac:dyDescent="0.25">
      <c r="B31" s="43" t="s">
        <v>54</v>
      </c>
      <c r="C31" s="44"/>
      <c r="D31" s="44"/>
      <c r="E31" s="44"/>
      <c r="F31" s="45"/>
    </row>
    <row r="32" spans="2:6" ht="32.25" customHeight="1" x14ac:dyDescent="0.25">
      <c r="B32" s="46" t="s">
        <v>55</v>
      </c>
      <c r="C32" s="47"/>
      <c r="D32" s="47"/>
      <c r="E32" s="47"/>
      <c r="F32" s="48"/>
    </row>
    <row r="33" spans="2:6" ht="11.25" customHeight="1" x14ac:dyDescent="0.25"/>
    <row r="34" spans="2:6" x14ac:dyDescent="0.25">
      <c r="B34" s="70"/>
      <c r="C34" s="70"/>
      <c r="D34" s="70"/>
      <c r="E34" s="70"/>
      <c r="F34" s="70"/>
    </row>
    <row r="35" spans="2:6" x14ac:dyDescent="0.25">
      <c r="B35" s="70"/>
      <c r="C35" s="70"/>
      <c r="D35" s="70"/>
      <c r="E35" s="70"/>
      <c r="F35" s="70"/>
    </row>
    <row r="36" spans="2:6" ht="19.5" customHeight="1" x14ac:dyDescent="0.25">
      <c r="B36" s="70"/>
      <c r="C36" s="70"/>
      <c r="D36" s="70"/>
      <c r="E36" s="70"/>
      <c r="F36" s="70"/>
    </row>
    <row r="37" spans="2:6" x14ac:dyDescent="0.25">
      <c r="B37" s="68" t="s">
        <v>27</v>
      </c>
      <c r="C37" s="68"/>
      <c r="D37" s="68" t="s">
        <v>27</v>
      </c>
      <c r="E37" s="68"/>
      <c r="F37" s="68"/>
    </row>
    <row r="38" spans="2:6" x14ac:dyDescent="0.25">
      <c r="B38" s="69" t="s">
        <v>28</v>
      </c>
      <c r="C38" s="69"/>
      <c r="D38" s="69" t="s">
        <v>29</v>
      </c>
      <c r="E38" s="69"/>
      <c r="F38" s="69"/>
    </row>
    <row r="39" spans="2:6" ht="7.5" customHeight="1" x14ac:dyDescent="0.25"/>
    <row r="40" spans="2:6" ht="33.75" x14ac:dyDescent="0.5">
      <c r="B40" s="8"/>
    </row>
    <row r="41" spans="2:6" x14ac:dyDescent="0.25">
      <c r="B41" s="7" t="s">
        <v>30</v>
      </c>
      <c r="C41" s="7"/>
      <c r="D41" s="27"/>
      <c r="E41" s="28" t="s">
        <v>33</v>
      </c>
      <c r="F41" s="12"/>
    </row>
    <row r="42" spans="2:6" x14ac:dyDescent="0.25">
      <c r="B42" s="7" t="s">
        <v>31</v>
      </c>
      <c r="C42" s="7"/>
      <c r="D42" s="27"/>
      <c r="E42" s="28" t="s">
        <v>34</v>
      </c>
      <c r="F42" s="12"/>
    </row>
    <row r="43" spans="2:6" x14ac:dyDescent="0.25">
      <c r="B43" s="7" t="s">
        <v>32</v>
      </c>
      <c r="C43" s="7"/>
      <c r="D43" s="27"/>
      <c r="E43" s="28" t="s">
        <v>35</v>
      </c>
      <c r="F43" s="12"/>
    </row>
    <row r="44" spans="2:6" ht="5.25" customHeight="1" x14ac:dyDescent="0.25"/>
    <row r="45" spans="2:6" x14ac:dyDescent="0.25">
      <c r="B45" s="9" t="s">
        <v>57</v>
      </c>
      <c r="C45" s="10"/>
      <c r="D45" s="10"/>
      <c r="E45" s="10"/>
      <c r="F45" s="11" t="s">
        <v>56</v>
      </c>
    </row>
  </sheetData>
  <mergeCells count="35">
    <mergeCell ref="B34:C36"/>
    <mergeCell ref="D34:F36"/>
    <mergeCell ref="B37:C37"/>
    <mergeCell ref="D37:F37"/>
    <mergeCell ref="B38:C38"/>
    <mergeCell ref="D38:F38"/>
    <mergeCell ref="B32:F32"/>
    <mergeCell ref="B19:E19"/>
    <mergeCell ref="B20:E20"/>
    <mergeCell ref="C22:F22"/>
    <mergeCell ref="C23:F23"/>
    <mergeCell ref="C24:F24"/>
    <mergeCell ref="B26:F26"/>
    <mergeCell ref="B27:F27"/>
    <mergeCell ref="B28:F28"/>
    <mergeCell ref="B29:F29"/>
    <mergeCell ref="B30:F30"/>
    <mergeCell ref="B31:F31"/>
    <mergeCell ref="B15:B16"/>
    <mergeCell ref="C15:C16"/>
    <mergeCell ref="D15:D16"/>
    <mergeCell ref="E15:E16"/>
    <mergeCell ref="B18:E18"/>
    <mergeCell ref="C13:D13"/>
    <mergeCell ref="B3:F3"/>
    <mergeCell ref="C5:D5"/>
    <mergeCell ref="E5:F6"/>
    <mergeCell ref="B6:B7"/>
    <mergeCell ref="C6:D6"/>
    <mergeCell ref="C7:D7"/>
    <mergeCell ref="C8:D8"/>
    <mergeCell ref="C9:D9"/>
    <mergeCell ref="C10:D10"/>
    <mergeCell ref="C11:D11"/>
    <mergeCell ref="C12:D12"/>
  </mergeCells>
  <dataValidations count="4">
    <dataValidation type="list" allowBlank="1" showInputMessage="1" showErrorMessage="1" sqref="G13:H13">
      <formula1>"Web,Multimedia,SEO,Design,Opensource,Microsoft,Mobile,IMS,Admin"</formula1>
    </dataValidation>
    <dataValidation type="list" allowBlank="1" showInputMessage="1" showErrorMessage="1" sqref="D17">
      <formula1>"1 year,2 years,3 years,4 years, 5 years"</formula1>
    </dataValidation>
    <dataValidation type="list" allowBlank="1" showInputMessage="1" showErrorMessage="1" sqref="F12:F13">
      <formula1>"Admin"</formula1>
    </dataValidation>
    <dataValidation type="list" allowBlank="1" showInputMessage="1" showErrorMessage="1" sqref="F10">
      <formula1>"CBE,CHN,Offshore,HO,HO Renewals,HO Exports,AU,CA,HK,SG,USA,UK,iTech,Admin"</formula1>
    </dataValidation>
  </dataValidations>
  <hyperlinks>
    <hyperlink ref="C11" r:id="rId1"/>
    <hyperlink ref="B45" r:id="rId2"/>
    <hyperlink ref="C17" r:id="rId3"/>
    <hyperlink ref="E1" r:id="rId4" display="www.angleritech.com"/>
  </hyperlinks>
  <pageMargins left="0.78740157480314965" right="0.59055118110236227" top="0.59055118110236227" bottom="0.39370078740157483" header="0.31496062992125984" footer="0.31496062992125984"/>
  <pageSetup paperSize="9" scale="85"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Domain_Server_AMC</vt:lpstr>
      <vt:lpstr>Server_AMC</vt:lpstr>
      <vt:lpstr>DomainRenewal</vt:lpstr>
      <vt:lpstr>Domain_Server_AMC!Print_Area</vt:lpstr>
      <vt:lpstr>DomainRenewal!Print_Area</vt:lpstr>
      <vt:lpstr>Server_AMC!Print_Area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Jayanthi, ANGLER - Admin</dc:creator>
  <cp:lastModifiedBy>rukshana a</cp:lastModifiedBy>
  <cp:lastPrinted>2016-12-08T09:10:55Z</cp:lastPrinted>
  <dcterms:created xsi:type="dcterms:W3CDTF">2016-11-24T10:42:35Z</dcterms:created>
  <dcterms:modified xsi:type="dcterms:W3CDTF">2026-07-28T11:36:08Z</dcterms:modified>
</cp:coreProperties>
</file>