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Backup_Aruna\Aruna\Presales\BuildX\"/>
    </mc:Choice>
  </mc:AlternateContent>
  <bookViews>
    <workbookView xWindow="0" yWindow="0" windowWidth="20490" windowHeight="7650"/>
  </bookViews>
  <sheets>
    <sheet name="Time estimation" sheetId="1" r:id="rId1"/>
  </sheets>
  <calcPr calcId="162913"/>
</workbook>
</file>

<file path=xl/calcChain.xml><?xml version="1.0" encoding="utf-8"?>
<calcChain xmlns="http://schemas.openxmlformats.org/spreadsheetml/2006/main">
  <c r="C117" i="1" l="1"/>
  <c r="C118" i="1" s="1"/>
  <c r="C119" i="1" s="1"/>
  <c r="C120" i="1" s="1"/>
  <c r="C121" i="1" s="1"/>
  <c r="D113" i="1"/>
  <c r="E113" i="1" s="1"/>
  <c r="I107" i="1"/>
  <c r="D107" i="1"/>
  <c r="E107" i="1" s="1"/>
  <c r="D96" i="1"/>
  <c r="E96" i="1" s="1"/>
  <c r="D93" i="1"/>
  <c r="E93" i="1" s="1"/>
  <c r="D28" i="1"/>
  <c r="E28" i="1" s="1"/>
  <c r="D26" i="1"/>
  <c r="E26" i="1" s="1"/>
  <c r="D24" i="1"/>
  <c r="E24" i="1" s="1"/>
  <c r="I20" i="1"/>
  <c r="G20" i="1"/>
  <c r="D20" i="1"/>
  <c r="E20" i="1" s="1"/>
  <c r="I17" i="1"/>
  <c r="G17" i="1"/>
  <c r="D17" i="1"/>
  <c r="E17" i="1" s="1"/>
  <c r="D12" i="1"/>
  <c r="G12" i="1" s="1"/>
  <c r="G96" i="1" l="1"/>
  <c r="I96" i="1"/>
  <c r="G26" i="1"/>
  <c r="I12" i="1"/>
  <c r="G24" i="1"/>
  <c r="I26" i="1"/>
  <c r="I93" i="1"/>
  <c r="G113" i="1"/>
  <c r="G93" i="1"/>
  <c r="I24" i="1"/>
  <c r="G107" i="1"/>
  <c r="I113" i="1"/>
  <c r="G28" i="1"/>
  <c r="I28" i="1"/>
  <c r="D117" i="1"/>
  <c r="D118" i="1" s="1"/>
  <c r="D119" i="1" s="1"/>
  <c r="D120" i="1" s="1"/>
  <c r="D121" i="1" s="1"/>
  <c r="E12" i="1"/>
  <c r="I117" i="1" l="1"/>
  <c r="G117" i="1"/>
</calcChain>
</file>

<file path=xl/sharedStrings.xml><?xml version="1.0" encoding="utf-8"?>
<sst xmlns="http://schemas.openxmlformats.org/spreadsheetml/2006/main" count="209" uniqueCount="170">
  <si>
    <t>ANGLER Technologies</t>
  </si>
  <si>
    <t>Doc. Ref: 9.1: PC /D 06/1.0</t>
  </si>
  <si>
    <t>Standard Time Estimation Document</t>
  </si>
  <si>
    <t>Date: 23-07-2026</t>
  </si>
  <si>
    <t>Page:1</t>
  </si>
  <si>
    <t>Project :</t>
  </si>
  <si>
    <t>BuildX - Vendora</t>
  </si>
  <si>
    <t>Version History</t>
  </si>
  <si>
    <t>Date:</t>
  </si>
  <si>
    <t>Version</t>
  </si>
  <si>
    <t>Date</t>
  </si>
  <si>
    <t>Man days Shared</t>
  </si>
  <si>
    <t>Comments</t>
  </si>
  <si>
    <t>Version:</t>
  </si>
  <si>
    <t>Prepared By:</t>
  </si>
  <si>
    <t>Optimum Plan</t>
  </si>
  <si>
    <t>Max. Plan</t>
  </si>
  <si>
    <t>S.No</t>
  </si>
  <si>
    <t>Modules</t>
  </si>
  <si>
    <t>Task Split Estimate (Hrs)</t>
  </si>
  <si>
    <t>Man Hours</t>
  </si>
  <si>
    <t>Man Days</t>
  </si>
  <si>
    <t># of People</t>
  </si>
  <si>
    <t>No. of Calendar Weeks</t>
  </si>
  <si>
    <t>Milestone</t>
  </si>
  <si>
    <t>Reusable / Part of Product road map</t>
  </si>
  <si>
    <t xml:space="preserve">Comments </t>
  </si>
  <si>
    <t>System Study</t>
  </si>
  <si>
    <t>Technical Study</t>
  </si>
  <si>
    <t xml:space="preserve">   Requirement gathering</t>
  </si>
  <si>
    <t>Proposal and SRS preparation</t>
  </si>
  <si>
    <t>Y</t>
  </si>
  <si>
    <t>Learning Effort</t>
  </si>
  <si>
    <t>Project Planning</t>
  </si>
  <si>
    <t>Project Plan</t>
  </si>
  <si>
    <t>Time estimation and Time line</t>
  </si>
  <si>
    <t>Design and Development</t>
  </si>
  <si>
    <t>High Level Design</t>
  </si>
  <si>
    <t>Detailed Design</t>
  </si>
  <si>
    <t>Home page &amp; sub page design</t>
  </si>
  <si>
    <t xml:space="preserve">Home page &amp; sub page design </t>
  </si>
  <si>
    <t>Visual Prototype</t>
  </si>
  <si>
    <t xml:space="preserve">Coding </t>
  </si>
  <si>
    <t>Coding tasks are split module-wise; every coding task is 16 hours or less.</t>
  </si>
  <si>
    <t>Project Setup &amp; Architecture - Application environment and repository setup</t>
  </si>
  <si>
    <t>Existing product setup / customization</t>
  </si>
  <si>
    <t>Project Setup &amp; Architecture - Database extensions and integration base configuration</t>
  </si>
  <si>
    <t>Authentication &amp; Access - Role and permission matrix customization</t>
  </si>
  <si>
    <t>Existing module customization</t>
  </si>
  <si>
    <t>Authentication &amp; Access - Project, plant, finance and admin access controls</t>
  </si>
  <si>
    <t>ERP Inbound Integration - API authentication and connection framework</t>
  </si>
  <si>
    <t>ERP API integration</t>
  </si>
  <si>
    <t>ERP Inbound Integration - Project master synchronization</t>
  </si>
  <si>
    <t>ERP Inbound Integration - Milestone master synchronization</t>
  </si>
  <si>
    <t>ERP Inbound Integration - Material and service master synchronization</t>
  </si>
  <si>
    <t>ERP Inbound Integration - Plant master synchronization</t>
  </si>
  <si>
    <t>ERP Inbound Integration - Material intent and requirement synchronization</t>
  </si>
  <si>
    <t>Two-way ERP API integration</t>
  </si>
  <si>
    <t>ERP Outbound Integration - Invoice status, acknowledgement and retry handling</t>
  </si>
  <si>
    <t>Project &amp; Plant Management - Dynamic plant master and project mapping</t>
  </si>
  <si>
    <t>Customer-specific alteration</t>
  </si>
  <si>
    <t>Project &amp; Plant Management - Plant active, hold, close and transaction validation</t>
  </si>
  <si>
    <t>Vendor Onboarding - Client-specific vendor profile and compliance fields</t>
  </si>
  <si>
    <t>Existing vendor module customization</t>
  </si>
  <si>
    <t>Vendor Onboarding - Vendor to material/category mapping</t>
  </si>
  <si>
    <t>Vendor Onboarding - Vendor to plant mapping and effective dates</t>
  </si>
  <si>
    <t>Vendor Onboarding - Eligibility filtering, hold status and approval history</t>
  </si>
  <si>
    <t>Material Requirement - ERP intent display and plant request entry</t>
  </si>
  <si>
    <t>Customer-specific workflow</t>
  </si>
  <si>
    <t>Material Requirement - Approval, return, reject, hold and remarks workflow</t>
  </si>
  <si>
    <t>Material Requirement - Attachments and split/group requirements into RFQ</t>
  </si>
  <si>
    <t>RFQ Management - Create RFQ from approved requirements</t>
  </si>
  <si>
    <t>Existing RFQ module customization</t>
  </si>
  <si>
    <t>RFQ Management - Eligible vendor recommendation and exception handling</t>
  </si>
  <si>
    <t>RFQ Management - Approval, issue, status and response tracking</t>
  </si>
  <si>
    <t>Email / WhatsApp trigger included</t>
  </si>
  <si>
    <t>Quotation Management - Quotation entry, attachments and revision history</t>
  </si>
  <si>
    <t>Existing quotation module customization</t>
  </si>
  <si>
    <t>Quotation Management - Price, discount, tax, freight and landed value calculation</t>
  </si>
  <si>
    <t>Quotation Management - Item-wise and vendor-wise commercial comparison</t>
  </si>
  <si>
    <t>Vendor Selection - Recommendation, negotiated price and terms capture</t>
  </si>
  <si>
    <t>Customer-specific approval controls</t>
  </si>
  <si>
    <t>Vendor Selection - Non-L1 justification, approval, locking and re-approval</t>
  </si>
  <si>
    <t>Existing PO module customization</t>
  </si>
  <si>
    <t>Purchase Order - Approval, release, hold and vendor communication</t>
  </si>
  <si>
    <t>Purchase Order - Amendment versioning, re-approval and printable PO</t>
  </si>
  <si>
    <t>GRN Management - Manual plant/stores GRN entry against PO</t>
  </si>
  <si>
    <t>New/custom GRN workflow</t>
  </si>
  <si>
    <t>GRN Management - Partial receipts, multiple GRNs and quantity validation</t>
  </si>
  <si>
    <t>GRN Management - Damage/rejection, attachment, verification and PO status update</t>
  </si>
  <si>
    <t>Invoice Management - Invoice PDF upload and invoice detail entry</t>
  </si>
  <si>
    <t>Customer-specific invoice workflow</t>
  </si>
  <si>
    <t>Invoice Management - PO/GRN linkage and duplicate invoice validation</t>
  </si>
  <si>
    <t>Invoice Management - Finance verification, hold/reject and Tally posting trigger</t>
  </si>
  <si>
    <t>Tally Posting Integration - Connector, authentication and configuration</t>
  </si>
  <si>
    <t>Third-party Tally integration</t>
  </si>
  <si>
    <t>Tally Posting Integration - Ledger, GST and project cost-centre mapping</t>
  </si>
  <si>
    <t>Tally Posting Integration - Purchase voucher/debit/credit payload and posting response</t>
  </si>
  <si>
    <t>Tally Posting Integration - Idempotency, retry, reversal and reposting controls</t>
  </si>
  <si>
    <t>Tally Status Sync - Voucher acknowledgement and posting status synchronization</t>
  </si>
  <si>
    <t>Two-way Tally integration</t>
  </si>
  <si>
    <t>Tally Status Sync - Payment status, paid amount, balance and reference sync</t>
  </si>
  <si>
    <t>Email &amp; WhatsApp - Provider configuration and communication templates</t>
  </si>
  <si>
    <t>SMTP/API + WhatsApp Business provider</t>
  </si>
  <si>
    <t>Email &amp; WhatsApp - RFQ, PO and GRN notification triggers</t>
  </si>
  <si>
    <t>Email &amp; WhatsApp - Tally/payment alerts, delivery log and retry handling</t>
  </si>
  <si>
    <t>Dashboards &amp; Reports - Procurement dashboard and pipeline status</t>
  </si>
  <si>
    <t>Existing dashboard customization</t>
  </si>
  <si>
    <t>Dashboards &amp; Reports - Requirement, RFQ, PO and GRN reports</t>
  </si>
  <si>
    <t>Existing report customization</t>
  </si>
  <si>
    <t>Dashboards &amp; Reports - Invoice, payment, ageing, reconciliation and export reports</t>
  </si>
  <si>
    <t>Integration Admin - ERP/Tally status, error logs and manual retry</t>
  </si>
  <si>
    <t>Integration administration</t>
  </si>
  <si>
    <t>Integration Admin - Mapping configuration, reconciliation and audit history</t>
  </si>
  <si>
    <t>Developer Testing - Module unit testing and validation scenarios</t>
  </si>
  <si>
    <t>Coding-level test coverage</t>
  </si>
  <si>
    <t>Developer Testing - ERP, Tally and communication integration testing</t>
  </si>
  <si>
    <t>Stabilization - Workflow, UI and validation defect fixing</t>
  </si>
  <si>
    <t>Post-development stabilization</t>
  </si>
  <si>
    <t>Stabilization - ERP/Tally integration fixes and regression stabilization</t>
  </si>
  <si>
    <t>Code Review</t>
  </si>
  <si>
    <t>Testing &amp; Implementation</t>
  </si>
  <si>
    <t>Test Cases</t>
  </si>
  <si>
    <t>Testing &amp; Bug validation</t>
  </si>
  <si>
    <t>Bug Closing</t>
  </si>
  <si>
    <t>Additional Browsers testing</t>
  </si>
  <si>
    <t>Security Testing - Mandatory</t>
  </si>
  <si>
    <t>Performance Testing - Optional</t>
  </si>
  <si>
    <t>User Manual</t>
  </si>
  <si>
    <t>Project Release (Consider both test server &amp; live server releases)</t>
  </si>
  <si>
    <t>Client's Server configuration</t>
  </si>
  <si>
    <t>Data Migration / One time data import</t>
  </si>
  <si>
    <t>Server Migration</t>
  </si>
  <si>
    <t>User Training / Client Visits / After Release Support Efforts (if Required)</t>
  </si>
  <si>
    <t>Project Management</t>
  </si>
  <si>
    <t xml:space="preserve">Telecall </t>
  </si>
  <si>
    <t>Project Review (by PM)</t>
  </si>
  <si>
    <t>PL Project briefing to testers, Team member clarifications, etc</t>
  </si>
  <si>
    <t>Total time estimate(Hrs)</t>
  </si>
  <si>
    <t>10% Buffer</t>
  </si>
  <si>
    <t>Total Hours</t>
  </si>
  <si>
    <t>Total Man Days</t>
  </si>
  <si>
    <t>Total man Months</t>
  </si>
  <si>
    <t>Approximate Calendar Weeks</t>
  </si>
  <si>
    <t>14 to 16 weeks (Optimum); 11 to 13 weeks (Max.)</t>
  </si>
  <si>
    <t>Disclaimers:</t>
  </si>
  <si>
    <t>The calendar weeks calculated is only a suggestion. Refer the next sheet for approximate calendar weeks calculation</t>
  </si>
  <si>
    <t>When the application is quite large or based on client priority, decide on going for phase releases and split the estimation format for phase releases like, including testing, release, project management hours for each releases</t>
  </si>
  <si>
    <t>Third-party integration coding for ERP, Tally, Email and WhatsApp is included in the Coding section. Licensing/subscription/message charges, provider approvals, and changes inside client ERP/Tally are excluded.</t>
  </si>
  <si>
    <t>Risks:</t>
  </si>
  <si>
    <t>The scope is vast and the efforts given are ballpark estimaiton only</t>
  </si>
  <si>
    <t>Browser Compatibility with versions</t>
  </si>
  <si>
    <t>• Chrome 118</t>
  </si>
  <si>
    <t xml:space="preserve"> </t>
  </si>
  <si>
    <t>Technology with versions</t>
  </si>
  <si>
    <t>MySQL 7</t>
  </si>
  <si>
    <t>Operating System(OS) Compatibility with versions</t>
  </si>
  <si>
    <t>Windows Server 2012</t>
  </si>
  <si>
    <t>ERP Integration</t>
  </si>
  <si>
    <t>Vendor Onboarding</t>
  </si>
  <si>
    <t>RFQ</t>
  </si>
  <si>
    <t>Purchase order</t>
  </si>
  <si>
    <t>Purchase Order - PO creation manually from approved vendor quotation</t>
  </si>
  <si>
    <t>GRN</t>
  </si>
  <si>
    <t>Invoice Management</t>
  </si>
  <si>
    <t>Notification setup</t>
  </si>
  <si>
    <t>Tally Integration</t>
  </si>
  <si>
    <t>Dashboards &amp; Reports</t>
  </si>
  <si>
    <t>Santhiya/Aruna</t>
  </si>
  <si>
    <t>React JS + NodeJS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</si>
</sst>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
    <numFmt numFmtId="166" formatCode="dd\-mm\-yyyy"/>
    <numFmt numFmtId="167" formatCode="dd\-mmm\-yy"/>
  </numFmts>
  <fonts count="20" x14ac:knownFonts="1">
    <font>
      <sz val="11"/>
      <color theme="1"/>
      <name val="Calibri"/>
    </font>
    <font>
      <sz val="12"/>
      <color theme="1"/>
      <name val="Times New Roman"/>
    </font>
    <font>
      <b/>
      <sz val="14"/>
      <color theme="1"/>
      <name val="Arial"/>
    </font>
    <font>
      <sz val="10"/>
      <color theme="1"/>
      <name val="Arial"/>
    </font>
    <font>
      <b/>
      <sz val="12"/>
      <color theme="1"/>
      <name val="Arial"/>
    </font>
    <font>
      <sz val="10"/>
      <name val="Verdana"/>
    </font>
    <font>
      <b/>
      <sz val="10"/>
      <name val="Verdana"/>
    </font>
    <font>
      <b/>
      <sz val="10"/>
      <name val="Arial"/>
    </font>
    <font>
      <sz val="10"/>
      <name val="Arial"/>
    </font>
    <font>
      <b/>
      <sz val="10"/>
      <color theme="1"/>
      <name val="Arial"/>
    </font>
    <font>
      <b/>
      <sz val="10"/>
      <color indexed="9"/>
      <name val="Arial"/>
    </font>
    <font>
      <b/>
      <sz val="10"/>
      <color indexed="12"/>
      <name val="Arial"/>
    </font>
    <font>
      <b/>
      <sz val="11"/>
      <color theme="1"/>
      <name val="Calibri"/>
    </font>
    <font>
      <sz val="11"/>
      <color theme="0"/>
      <name val="Calibri"/>
    </font>
    <font>
      <sz val="10"/>
      <name val="Arial"/>
    </font>
    <font>
      <sz val="11"/>
      <color theme="1"/>
      <name val="Arial"/>
    </font>
    <font>
      <sz val="9"/>
      <color theme="1"/>
      <name val="Verdana"/>
    </font>
    <font>
      <sz val="10"/>
      <color rgb="FF000000"/>
      <name val="Arial"/>
    </font>
    <font>
      <sz val="10"/>
      <color rgb="FF000000"/>
      <name val="Arial"/>
      <family val="2"/>
    </font>
    <font>
      <b/>
      <sz val="10"/>
      <color rgb="FF000000"/>
      <name val="Arial"/>
      <family val="2"/>
    </font>
  </fonts>
  <fills count="10">
    <fill>
      <patternFill patternType="none"/>
    </fill>
    <fill>
      <patternFill patternType="gray125"/>
    </fill>
    <fill>
      <patternFill patternType="solid">
        <fgColor theme="4" tint="0.39997558519241921"/>
        <bgColor indexed="65"/>
      </patternFill>
    </fill>
    <fill>
      <patternFill patternType="solid">
        <fgColor rgb="FFFFFF00"/>
      </patternFill>
    </fill>
    <fill>
      <patternFill patternType="solid">
        <fgColor indexed="25"/>
      </patternFill>
    </fill>
    <fill>
      <patternFill patternType="solid">
        <fgColor indexed="61"/>
      </patternFill>
    </fill>
    <fill>
      <patternFill patternType="solid">
        <fgColor theme="7" tint="-0.249977111117893"/>
        <bgColor indexed="65"/>
      </patternFill>
    </fill>
    <fill>
      <patternFill patternType="solid">
        <fgColor indexed="9"/>
      </patternFill>
    </fill>
    <fill>
      <patternFill patternType="solid">
        <fgColor indexed="27"/>
      </patternFill>
    </fill>
    <fill>
      <patternFill patternType="solid">
        <fgColor rgb="FFFFFFFF"/>
      </patternFill>
    </fill>
  </fills>
  <borders count="32">
    <border>
      <left/>
      <right/>
      <top/>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right style="thin">
        <color indexed="8"/>
      </right>
      <top/>
      <bottom/>
      <diagonal/>
    </border>
    <border>
      <left/>
      <right style="thin">
        <color indexed="8"/>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style="thin">
        <color indexed="64"/>
      </left>
      <right/>
      <top/>
      <bottom style="thin">
        <color indexed="64"/>
      </bottom>
      <diagonal/>
    </border>
    <border>
      <left style="thin">
        <color indexed="8"/>
      </left>
      <right/>
      <top/>
      <bottom/>
      <diagonal/>
    </border>
    <border>
      <left style="thin">
        <color indexed="64"/>
      </left>
      <right/>
      <top style="thin">
        <color indexed="64"/>
      </top>
      <bottom/>
      <diagonal/>
    </border>
    <border>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s>
  <cellStyleXfs count="12">
    <xf numFmtId="0" fontId="0" fillId="0" borderId="21"/>
    <xf numFmtId="0" fontId="14" fillId="0" borderId="21"/>
    <xf numFmtId="0" fontId="13" fillId="0" borderId="21"/>
    <xf numFmtId="0" fontId="14" fillId="0" borderId="21"/>
    <xf numFmtId="0" fontId="14" fillId="0" borderId="21"/>
    <xf numFmtId="0" fontId="14" fillId="0" borderId="21"/>
    <xf numFmtId="0" fontId="14" fillId="0" borderId="21"/>
    <xf numFmtId="0" fontId="15" fillId="0" borderId="21"/>
    <xf numFmtId="9" fontId="14" fillId="0" borderId="21"/>
    <xf numFmtId="0" fontId="14" fillId="0" borderId="21"/>
    <xf numFmtId="0" fontId="14" fillId="0" borderId="21"/>
    <xf numFmtId="9" fontId="14" fillId="0" borderId="21"/>
  </cellStyleXfs>
  <cellXfs count="133">
    <xf numFmtId="0" fontId="0" fillId="0" borderId="0" xfId="0" applyBorder="1"/>
    <xf numFmtId="0" fontId="0" fillId="0" borderId="21" xfId="0" applyAlignment="1">
      <alignment vertical="center"/>
    </xf>
    <xf numFmtId="0" fontId="0" fillId="0" borderId="23" xfId="0" applyBorder="1"/>
    <xf numFmtId="0" fontId="0" fillId="0" borderId="3" xfId="0" applyBorder="1" applyAlignment="1">
      <alignment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0" fillId="3" borderId="3" xfId="0" applyFill="1" applyBorder="1" applyAlignment="1">
      <alignment vertical="center" wrapText="1"/>
    </xf>
    <xf numFmtId="0" fontId="11" fillId="0" borderId="0" xfId="0" applyFont="1" applyBorder="1" applyAlignment="1">
      <alignment horizontal="lef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2" xfId="0" applyFont="1" applyBorder="1" applyAlignment="1">
      <alignment vertical="center" wrapText="1"/>
    </xf>
    <xf numFmtId="0" fontId="5" fillId="0" borderId="0" xfId="0" applyFont="1" applyBorder="1" applyAlignment="1">
      <alignment horizontal="center" vertical="center" wrapText="1"/>
    </xf>
    <xf numFmtId="0" fontId="6" fillId="0" borderId="0" xfId="0" applyFont="1" applyBorder="1" applyAlignment="1">
      <alignment horizontal="center" vertical="center" wrapText="1"/>
    </xf>
    <xf numFmtId="0" fontId="7" fillId="0" borderId="0" xfId="0" applyFont="1" applyBorder="1" applyAlignment="1">
      <alignment horizontal="center" vertical="center" wrapText="1"/>
    </xf>
    <xf numFmtId="0" fontId="5" fillId="0" borderId="0" xfId="0" applyFont="1" applyBorder="1" applyAlignment="1">
      <alignment vertical="center" wrapText="1"/>
    </xf>
    <xf numFmtId="0" fontId="7" fillId="0" borderId="3" xfId="0" applyFont="1" applyBorder="1" applyAlignment="1">
      <alignment horizontal="right" vertical="center" wrapText="1"/>
    </xf>
    <xf numFmtId="0" fontId="16" fillId="0" borderId="3" xfId="0" applyFont="1" applyBorder="1" applyAlignment="1">
      <alignment wrapText="1"/>
    </xf>
    <xf numFmtId="0" fontId="7" fillId="2" borderId="5" xfId="0" applyFont="1" applyFill="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7" fillId="2" borderId="3" xfId="0" applyFont="1" applyFill="1" applyBorder="1" applyAlignment="1">
      <alignment horizontal="center" vertical="center" wrapText="1"/>
    </xf>
    <xf numFmtId="164" fontId="8" fillId="0" borderId="4" xfId="0" applyNumberFormat="1" applyFont="1" applyBorder="1" applyAlignment="1">
      <alignment horizontal="left" vertical="center" wrapText="1"/>
    </xf>
    <xf numFmtId="0" fontId="7" fillId="0" borderId="7" xfId="0" applyFont="1" applyBorder="1" applyAlignment="1">
      <alignment horizontal="center" vertical="center" wrapText="1"/>
    </xf>
    <xf numFmtId="15" fontId="7" fillId="0" borderId="3" xfId="0" applyNumberFormat="1" applyFont="1" applyBorder="1" applyAlignment="1">
      <alignment horizontal="center" vertical="center" wrapText="1"/>
    </xf>
    <xf numFmtId="1" fontId="7" fillId="0" borderId="7" xfId="0" applyNumberFormat="1" applyFont="1" applyBorder="1" applyAlignment="1">
      <alignment horizontal="center" vertical="center" wrapText="1"/>
    </xf>
    <xf numFmtId="0" fontId="7" fillId="0" borderId="3" xfId="0" applyFont="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2" fontId="10" fillId="5" borderId="3" xfId="0" applyNumberFormat="1"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4" xfId="0" applyFont="1" applyFill="1" applyBorder="1" applyAlignment="1">
      <alignment vertical="center" wrapText="1"/>
    </xf>
    <xf numFmtId="0" fontId="7" fillId="3" borderId="9"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0" fillId="3" borderId="4" xfId="0" applyFill="1" applyBorder="1" applyAlignment="1">
      <alignment vertical="center" wrapText="1"/>
    </xf>
    <xf numFmtId="0" fontId="7" fillId="0" borderId="8" xfId="0" applyFont="1" applyBorder="1" applyAlignment="1">
      <alignment horizontal="center" vertical="center" wrapText="1"/>
    </xf>
    <xf numFmtId="0" fontId="0" fillId="0" borderId="4" xfId="0" applyBorder="1" applyAlignment="1">
      <alignment horizontal="left" vertical="center" wrapText="1"/>
    </xf>
    <xf numFmtId="0" fontId="7" fillId="0" borderId="9" xfId="0" applyFont="1" applyBorder="1" applyAlignment="1">
      <alignment horizontal="center" vertical="center" wrapText="1"/>
    </xf>
    <xf numFmtId="0" fontId="0" fillId="0" borderId="4" xfId="0" applyBorder="1" applyAlignment="1">
      <alignment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0" fillId="0" borderId="7" xfId="0" applyBorder="1" applyAlignment="1">
      <alignment horizontal="center" vertical="center" wrapText="1"/>
    </xf>
    <xf numFmtId="0" fontId="7" fillId="3" borderId="11" xfId="0" applyFont="1" applyFill="1" applyBorder="1" applyAlignment="1">
      <alignment horizontal="center" vertical="center" wrapText="1"/>
    </xf>
    <xf numFmtId="0" fontId="7" fillId="3" borderId="4" xfId="0" applyFont="1" applyFill="1" applyBorder="1" applyAlignment="1">
      <alignment horizontal="left" vertical="center" wrapText="1"/>
    </xf>
    <xf numFmtId="0" fontId="8" fillId="0" borderId="12" xfId="0" applyFont="1" applyBorder="1" applyAlignment="1">
      <alignment horizontal="left" vertical="center" wrapText="1"/>
    </xf>
    <xf numFmtId="0" fontId="7" fillId="0" borderId="12" xfId="0" applyFont="1" applyBorder="1" applyAlignment="1">
      <alignment horizontal="center" vertical="center" wrapText="1"/>
    </xf>
    <xf numFmtId="0" fontId="8" fillId="0" borderId="4" xfId="0" applyFont="1" applyBorder="1" applyAlignment="1">
      <alignment horizontal="left" vertical="center" wrapText="1"/>
    </xf>
    <xf numFmtId="0" fontId="7" fillId="3" borderId="19" xfId="0" applyFont="1" applyFill="1" applyBorder="1" applyAlignment="1">
      <alignment horizontal="center" vertical="center" wrapText="1"/>
    </xf>
    <xf numFmtId="0" fontId="7" fillId="3" borderId="3" xfId="0" applyFont="1" applyFill="1" applyBorder="1" applyAlignment="1">
      <alignment horizontal="left" vertic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2" fontId="7" fillId="3" borderId="14" xfId="0" applyNumberFormat="1" applyFont="1" applyFill="1" applyBorder="1" applyAlignment="1">
      <alignment horizontal="center" vertical="center" wrapText="1"/>
    </xf>
    <xf numFmtId="0" fontId="7" fillId="3" borderId="16" xfId="0" applyFont="1" applyFill="1" applyBorder="1" applyAlignment="1">
      <alignment horizontal="center" vertical="center" wrapText="1"/>
    </xf>
    <xf numFmtId="0" fontId="0" fillId="3" borderId="20" xfId="0" applyFill="1" applyBorder="1" applyAlignment="1">
      <alignment vertical="center" wrapText="1"/>
    </xf>
    <xf numFmtId="0" fontId="7" fillId="3" borderId="13" xfId="0" applyFont="1" applyFill="1" applyBorder="1" applyAlignment="1">
      <alignment horizontal="left" vertical="center" wrapText="1"/>
    </xf>
    <xf numFmtId="0" fontId="7" fillId="3" borderId="10" xfId="0" applyFont="1" applyFill="1" applyBorder="1" applyAlignment="1">
      <alignment horizontal="center" vertical="center" wrapText="1"/>
    </xf>
    <xf numFmtId="2" fontId="7" fillId="3" borderId="10" xfId="0" applyNumberFormat="1" applyFont="1" applyFill="1" applyBorder="1" applyAlignment="1">
      <alignment horizontal="center" vertical="center" wrapText="1"/>
    </xf>
    <xf numFmtId="0" fontId="0" fillId="3" borderId="18" xfId="0" applyFill="1" applyBorder="1" applyAlignment="1">
      <alignment vertical="center" wrapText="1"/>
    </xf>
    <xf numFmtId="0" fontId="7" fillId="0" borderId="12" xfId="0" applyFont="1" applyBorder="1" applyAlignment="1">
      <alignment horizontal="left" vertical="center" wrapText="1"/>
    </xf>
    <xf numFmtId="0" fontId="7" fillId="3" borderId="12" xfId="0" applyFont="1" applyFill="1" applyBorder="1" applyAlignment="1">
      <alignment vertical="center" wrapText="1"/>
    </xf>
    <xf numFmtId="0" fontId="0" fillId="0" borderId="12" xfId="0" applyBorder="1" applyAlignment="1">
      <alignment horizontal="left" vertical="center" wrapText="1"/>
    </xf>
    <xf numFmtId="0" fontId="0" fillId="7" borderId="12" xfId="0" applyFill="1" applyBorder="1" applyAlignment="1">
      <alignment horizontal="left" vertical="center" wrapText="1"/>
    </xf>
    <xf numFmtId="0" fontId="0" fillId="7" borderId="3" xfId="0" applyFill="1" applyBorder="1" applyAlignment="1">
      <alignment horizontal="center" vertical="center" wrapText="1"/>
    </xf>
    <xf numFmtId="0" fontId="8" fillId="0" borderId="3" xfId="0" applyFont="1" applyBorder="1" applyAlignment="1">
      <alignment horizontal="center" vertical="center" wrapText="1"/>
    </xf>
    <xf numFmtId="0" fontId="7" fillId="0" borderId="15" xfId="0" applyFont="1" applyBorder="1" applyAlignment="1">
      <alignment horizontal="center" vertical="center" wrapText="1"/>
    </xf>
    <xf numFmtId="0" fontId="7" fillId="3" borderId="12" xfId="0" applyFont="1" applyFill="1" applyBorder="1" applyAlignment="1">
      <alignment horizontal="left" vertical="center" wrapText="1"/>
    </xf>
    <xf numFmtId="0" fontId="7" fillId="3" borderId="3" xfId="0" applyFont="1" applyFill="1" applyBorder="1" applyAlignment="1">
      <alignment horizontal="center" vertical="center" wrapText="1"/>
    </xf>
    <xf numFmtId="2" fontId="7" fillId="3" borderId="3" xfId="0" applyNumberFormat="1" applyFont="1" applyFill="1" applyBorder="1" applyAlignment="1">
      <alignment horizontal="center" vertical="center" wrapText="1"/>
    </xf>
    <xf numFmtId="0" fontId="0" fillId="8" borderId="7" xfId="0" applyFill="1" applyBorder="1" applyAlignment="1">
      <alignment vertical="center" wrapText="1"/>
    </xf>
    <xf numFmtId="0" fontId="7" fillId="8" borderId="12" xfId="0" applyFont="1" applyFill="1" applyBorder="1" applyAlignment="1">
      <alignment horizontal="right" vertical="center" wrapText="1"/>
    </xf>
    <xf numFmtId="0" fontId="7" fillId="8" borderId="14" xfId="0" applyFont="1" applyFill="1" applyBorder="1" applyAlignment="1">
      <alignment horizontal="center" vertical="center" wrapText="1"/>
    </xf>
    <xf numFmtId="0" fontId="7" fillId="8" borderId="16" xfId="0" applyFont="1" applyFill="1" applyBorder="1" applyAlignment="1">
      <alignment horizontal="center" vertical="center" wrapText="1"/>
    </xf>
    <xf numFmtId="2" fontId="7" fillId="8" borderId="16" xfId="0" applyNumberFormat="1" applyFont="1" applyFill="1" applyBorder="1" applyAlignment="1">
      <alignment horizontal="center" vertical="center" wrapText="1"/>
    </xf>
    <xf numFmtId="0" fontId="7" fillId="8" borderId="7" xfId="0" applyFont="1" applyFill="1" applyBorder="1" applyAlignment="1">
      <alignment horizontal="center" vertical="center" wrapText="1"/>
    </xf>
    <xf numFmtId="164" fontId="7" fillId="8" borderId="15" xfId="0" applyNumberFormat="1" applyFont="1" applyFill="1" applyBorder="1" applyAlignment="1">
      <alignment horizontal="center" vertical="center" wrapText="1"/>
    </xf>
    <xf numFmtId="165" fontId="7" fillId="8" borderId="7" xfId="0" applyNumberFormat="1" applyFont="1" applyFill="1" applyBorder="1" applyAlignment="1">
      <alignment horizontal="center" vertical="center" wrapText="1"/>
    </xf>
    <xf numFmtId="0" fontId="0" fillId="8" borderId="7" xfId="0" applyFill="1" applyBorder="1" applyAlignment="1">
      <alignment horizontal="center" vertical="center" wrapText="1"/>
    </xf>
    <xf numFmtId="164" fontId="7" fillId="8" borderId="9" xfId="0" applyNumberFormat="1" applyFont="1" applyFill="1" applyBorder="1" applyAlignment="1">
      <alignment horizontal="center" vertical="center" wrapText="1"/>
    </xf>
    <xf numFmtId="0" fontId="7" fillId="0" borderId="0" xfId="0" applyFont="1" applyBorder="1" applyAlignment="1">
      <alignment horizontal="right" vertical="center" wrapText="1"/>
    </xf>
    <xf numFmtId="164" fontId="7" fillId="0" borderId="0" xfId="0" applyNumberFormat="1" applyFont="1" applyBorder="1" applyAlignment="1">
      <alignment horizontal="center" vertical="center" wrapText="1"/>
    </xf>
    <xf numFmtId="0" fontId="11" fillId="0" borderId="0" xfId="0" applyFont="1" applyBorder="1" applyAlignment="1">
      <alignment horizontal="center" vertical="center" wrapText="1"/>
    </xf>
    <xf numFmtId="0" fontId="7" fillId="0" borderId="17" xfId="0" applyFont="1" applyBorder="1" applyAlignment="1">
      <alignment vertical="center" wrapText="1"/>
    </xf>
    <xf numFmtId="0" fontId="0" fillId="0" borderId="0" xfId="0" applyBorder="1" applyAlignment="1">
      <alignment wrapText="1"/>
    </xf>
    <xf numFmtId="0" fontId="0" fillId="0" borderId="4" xfId="0" applyBorder="1" applyAlignment="1">
      <alignment wrapText="1"/>
    </xf>
    <xf numFmtId="0" fontId="7" fillId="0" borderId="3" xfId="0" applyFont="1" applyBorder="1" applyAlignment="1">
      <alignment vertical="center" wrapText="1"/>
    </xf>
    <xf numFmtId="0" fontId="8" fillId="0" borderId="3" xfId="0" applyFont="1" applyBorder="1" applyAlignment="1">
      <alignment vertical="center" wrapText="1"/>
    </xf>
    <xf numFmtId="0" fontId="0" fillId="0" borderId="0" xfId="0" applyBorder="1" applyAlignment="1">
      <alignment vertical="center"/>
    </xf>
    <xf numFmtId="0" fontId="0" fillId="0" borderId="0" xfId="0" applyBorder="1" applyAlignment="1">
      <alignment horizontal="center" vertical="center"/>
    </xf>
    <xf numFmtId="0" fontId="7" fillId="0" borderId="0" xfId="0" applyFont="1" applyBorder="1" applyAlignment="1">
      <alignment horizontal="center" vertical="center"/>
    </xf>
    <xf numFmtId="0" fontId="5" fillId="0" borderId="0" xfId="0" applyFont="1" applyBorder="1" applyAlignment="1">
      <alignment vertical="center"/>
    </xf>
    <xf numFmtId="0" fontId="0" fillId="0" borderId="3" xfId="0" applyBorder="1"/>
    <xf numFmtId="166" fontId="8" fillId="0" borderId="4" xfId="0" applyNumberFormat="1" applyFont="1" applyBorder="1" applyAlignment="1">
      <alignment horizontal="left" vertical="center" wrapText="1"/>
    </xf>
    <xf numFmtId="0" fontId="7" fillId="0" borderId="23" xfId="0" applyFont="1" applyBorder="1" applyAlignment="1">
      <alignment horizontal="center" vertical="center" wrapText="1"/>
    </xf>
    <xf numFmtId="0" fontId="17" fillId="9" borderId="23" xfId="0" applyFont="1" applyFill="1" applyBorder="1" applyAlignment="1">
      <alignment horizontal="center" vertical="center" wrapText="1"/>
    </xf>
    <xf numFmtId="2" fontId="7" fillId="0" borderId="23" xfId="0" applyNumberFormat="1" applyFont="1" applyBorder="1" applyAlignment="1">
      <alignment horizontal="center" vertical="center" wrapText="1"/>
    </xf>
    <xf numFmtId="164" fontId="7" fillId="8" borderId="26" xfId="0" applyNumberFormat="1" applyFont="1" applyFill="1" applyBorder="1" applyAlignment="1">
      <alignment horizontal="center" vertical="center" wrapText="1"/>
    </xf>
    <xf numFmtId="0" fontId="0" fillId="0" borderId="21" xfId="0" applyBorder="1"/>
    <xf numFmtId="0" fontId="18" fillId="0" borderId="23" xfId="0" applyFont="1" applyBorder="1" applyAlignment="1">
      <alignment vertical="center" wrapText="1"/>
    </xf>
    <xf numFmtId="0" fontId="19" fillId="0" borderId="23" xfId="0" applyFont="1" applyBorder="1" applyAlignment="1">
      <alignment vertical="center" wrapText="1"/>
    </xf>
    <xf numFmtId="0" fontId="7" fillId="3" borderId="25" xfId="0" applyFont="1" applyFill="1" applyBorder="1" applyAlignment="1">
      <alignment horizontal="center" vertical="center" wrapText="1"/>
    </xf>
    <xf numFmtId="0" fontId="7" fillId="0" borderId="26" xfId="0" applyFont="1" applyBorder="1" applyAlignment="1">
      <alignment horizontal="center" vertical="center" wrapText="1"/>
    </xf>
    <xf numFmtId="1" fontId="7" fillId="3" borderId="26" xfId="0" applyNumberFormat="1" applyFont="1" applyFill="1" applyBorder="1" applyAlignment="1">
      <alignment horizontal="center" vertical="center" wrapText="1"/>
    </xf>
    <xf numFmtId="0" fontId="0" fillId="0" borderId="30" xfId="0" applyBorder="1" applyAlignment="1">
      <alignment horizontal="center" vertical="center" wrapText="1"/>
    </xf>
    <xf numFmtId="0" fontId="7" fillId="3" borderId="23" xfId="0" applyFont="1" applyFill="1" applyBorder="1" applyAlignment="1">
      <alignment horizontal="center" vertical="center" wrapText="1"/>
    </xf>
    <xf numFmtId="0" fontId="7" fillId="8" borderId="23" xfId="0" applyFont="1" applyFill="1" applyBorder="1" applyAlignment="1">
      <alignment horizontal="center" vertical="center" wrapText="1"/>
    </xf>
    <xf numFmtId="164" fontId="7" fillId="8" borderId="23" xfId="0" applyNumberFormat="1" applyFont="1" applyFill="1" applyBorder="1" applyAlignment="1">
      <alignment horizontal="center" vertical="center" wrapText="1"/>
    </xf>
    <xf numFmtId="0" fontId="12" fillId="0" borderId="23" xfId="0" applyFont="1" applyBorder="1" applyAlignment="1">
      <alignment horizontal="center" wrapText="1"/>
    </xf>
    <xf numFmtId="0" fontId="7" fillId="2" borderId="25" xfId="0" applyFont="1" applyFill="1" applyBorder="1" applyAlignment="1">
      <alignment horizontal="center" vertical="center" wrapText="1"/>
    </xf>
    <xf numFmtId="167" fontId="7" fillId="0" borderId="25" xfId="0" applyNumberFormat="1" applyFont="1" applyBorder="1" applyAlignment="1">
      <alignment horizontal="center" vertical="center" wrapText="1"/>
    </xf>
    <xf numFmtId="15" fontId="7" fillId="0" borderId="25" xfId="0" applyNumberFormat="1" applyFont="1" applyBorder="1" applyAlignment="1">
      <alignment horizontal="center" vertical="center" wrapText="1"/>
    </xf>
    <xf numFmtId="0" fontId="7" fillId="0" borderId="25" xfId="0" applyFont="1" applyBorder="1" applyAlignment="1">
      <alignment horizontal="center" vertical="center" wrapText="1"/>
    </xf>
    <xf numFmtId="2" fontId="10" fillId="4" borderId="25" xfId="0" applyNumberFormat="1" applyFont="1" applyFill="1" applyBorder="1" applyAlignment="1">
      <alignment horizontal="center" vertical="center" wrapText="1"/>
    </xf>
    <xf numFmtId="0" fontId="7" fillId="3" borderId="26" xfId="0" applyFont="1" applyFill="1" applyBorder="1" applyAlignment="1">
      <alignment horizontal="center" vertical="center" wrapText="1"/>
    </xf>
    <xf numFmtId="0" fontId="7" fillId="2" borderId="23" xfId="0" applyFont="1" applyFill="1" applyBorder="1" applyAlignment="1">
      <alignment horizontal="center" vertical="center" wrapText="1"/>
    </xf>
    <xf numFmtId="164" fontId="7" fillId="0" borderId="23" xfId="0" applyNumberFormat="1" applyFont="1" applyBorder="1" applyAlignment="1">
      <alignment horizontal="center" vertical="center" wrapText="1"/>
    </xf>
    <xf numFmtId="0" fontId="10" fillId="4" borderId="23" xfId="0" applyFont="1" applyFill="1" applyBorder="1" applyAlignment="1">
      <alignment horizontal="center" vertical="center" wrapText="1"/>
    </xf>
    <xf numFmtId="0" fontId="3" fillId="0" borderId="23" xfId="0" applyFont="1" applyBorder="1" applyAlignment="1">
      <alignment vertical="center" wrapText="1"/>
    </xf>
    <xf numFmtId="0" fontId="7" fillId="2" borderId="27" xfId="0" applyFont="1" applyFill="1" applyBorder="1" applyAlignment="1">
      <alignment horizontal="center" vertical="center" wrapText="1"/>
    </xf>
    <xf numFmtId="0" fontId="0" fillId="0" borderId="24" xfId="0" applyBorder="1"/>
    <xf numFmtId="0" fontId="3" fillId="0" borderId="31" xfId="0" applyFont="1" applyBorder="1" applyAlignment="1">
      <alignment vertical="center" wrapText="1"/>
    </xf>
    <xf numFmtId="0" fontId="0" fillId="0" borderId="22" xfId="0" applyBorder="1"/>
    <xf numFmtId="0" fontId="9" fillId="3" borderId="23" xfId="0" applyFont="1" applyFill="1" applyBorder="1" applyAlignment="1">
      <alignment horizontal="center" vertical="center" wrapText="1"/>
    </xf>
    <xf numFmtId="0" fontId="0" fillId="0" borderId="25" xfId="0" applyBorder="1"/>
    <xf numFmtId="0" fontId="11" fillId="0" borderId="21" xfId="0" applyFont="1" applyAlignment="1">
      <alignment horizontal="left" vertical="center" wrapText="1"/>
    </xf>
    <xf numFmtId="0" fontId="0" fillId="0" borderId="21" xfId="0"/>
    <xf numFmtId="0" fontId="1" fillId="0" borderId="29" xfId="0" applyFont="1" applyBorder="1" applyAlignment="1">
      <alignment vertical="center" wrapText="1"/>
    </xf>
    <xf numFmtId="0" fontId="0" fillId="0" borderId="28" xfId="0" applyBorder="1"/>
    <xf numFmtId="0" fontId="7" fillId="0" borderId="23" xfId="0" applyFont="1" applyBorder="1" applyAlignment="1">
      <alignment horizontal="center" vertical="center" wrapText="1"/>
    </xf>
    <xf numFmtId="0" fontId="0" fillId="0" borderId="23" xfId="0" applyBorder="1"/>
    <xf numFmtId="164" fontId="7" fillId="8" borderId="23" xfId="0" applyNumberFormat="1" applyFont="1" applyFill="1" applyBorder="1" applyAlignment="1">
      <alignment horizontal="center" vertical="center" wrapText="1"/>
    </xf>
  </cellXfs>
  <cellStyles count="12">
    <cellStyle name="Normal" xfId="0" builtinId="0"/>
    <cellStyle name="Normal 2" xfId="4"/>
    <cellStyle name="Normal 3" xfId="1"/>
    <cellStyle name="Normal 3 2" xfId="6"/>
    <cellStyle name="Normal 3 3" xfId="5"/>
    <cellStyle name="Normal 3 3 2" xfId="10"/>
    <cellStyle name="Normal 4" xfId="3"/>
    <cellStyle name="Normal 4 2" xfId="9"/>
    <cellStyle name="Normal 7" xfId="7"/>
    <cellStyle name="Percent 2" xfId="8"/>
    <cellStyle name="Percent 2 2" xfId="11"/>
    <cellStyle name="zHiddenText"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268941</xdr:colOff>
      <xdr:row>1</xdr:row>
      <xdr:rowOff>100854</xdr:rowOff>
    </xdr:from>
    <xdr:to>
      <xdr:col>0</xdr:col>
      <xdr:colOff>554691</xdr:colOff>
      <xdr:row>3</xdr:row>
      <xdr:rowOff>2803</xdr:rowOff>
    </xdr:to>
    <xdr:pic>
      <xdr:nvPicPr>
        <xdr:cNvPr id="2" name="/xl/media/image.jpg"/>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9"/>
  <sheetViews>
    <sheetView tabSelected="1" topLeftCell="A101" workbookViewId="0">
      <selection activeCell="G101" sqref="G101"/>
    </sheetView>
  </sheetViews>
  <sheetFormatPr defaultRowHeight="15" x14ac:dyDescent="0.25"/>
  <cols>
    <col min="1" max="1" width="10.7109375" style="90" customWidth="1"/>
    <col min="2" max="2" width="62" style="89" customWidth="1"/>
    <col min="3" max="3" width="16.85546875" style="91" customWidth="1"/>
    <col min="4" max="4" width="10.5703125" style="91" customWidth="1"/>
    <col min="5" max="5" width="11.42578125" style="91" customWidth="1"/>
    <col min="6" max="9" width="11.140625" style="91" customWidth="1"/>
    <col min="10" max="10" width="11.42578125" style="91" customWidth="1"/>
    <col min="11" max="11" width="17.5703125" style="89" customWidth="1"/>
    <col min="12" max="12" width="34" style="89" customWidth="1"/>
    <col min="13" max="13" width="9.140625" style="89" customWidth="1"/>
  </cols>
  <sheetData>
    <row r="1" spans="1:13" ht="15.75" customHeight="1" thickBot="1" x14ac:dyDescent="0.3">
      <c r="A1" s="8"/>
      <c r="B1" s="8"/>
      <c r="C1" s="9"/>
      <c r="D1" s="8"/>
      <c r="E1" s="8"/>
      <c r="F1" s="8"/>
      <c r="G1" s="8"/>
      <c r="H1" s="8"/>
      <c r="I1" s="8"/>
      <c r="J1" s="8"/>
      <c r="K1" s="8"/>
      <c r="L1" s="8"/>
    </row>
    <row r="2" spans="1:13" ht="18.75" customHeight="1" thickBot="1" x14ac:dyDescent="0.3">
      <c r="A2" s="128"/>
      <c r="B2" s="10" t="s">
        <v>0</v>
      </c>
      <c r="C2" s="122" t="s">
        <v>1</v>
      </c>
      <c r="D2" s="123"/>
      <c r="E2" s="8"/>
      <c r="F2" s="8"/>
      <c r="G2" s="8"/>
      <c r="H2" s="8"/>
      <c r="I2" s="8"/>
      <c r="J2" s="8"/>
      <c r="K2" s="8"/>
      <c r="L2" s="8"/>
    </row>
    <row r="3" spans="1:13" ht="16.5" customHeight="1" thickBot="1" x14ac:dyDescent="0.3">
      <c r="A3" s="129"/>
      <c r="B3" s="11" t="s">
        <v>2</v>
      </c>
      <c r="C3" s="119" t="s">
        <v>3</v>
      </c>
      <c r="D3" s="12" t="s">
        <v>4</v>
      </c>
      <c r="E3" s="8"/>
      <c r="F3" s="8"/>
      <c r="G3" s="8"/>
      <c r="H3" s="8"/>
      <c r="I3" s="8"/>
      <c r="J3" s="8"/>
      <c r="K3" s="8"/>
      <c r="L3" s="8"/>
    </row>
    <row r="4" spans="1:13" x14ac:dyDescent="0.25">
      <c r="A4" s="13"/>
      <c r="B4" s="13"/>
      <c r="C4" s="14"/>
      <c r="D4" s="14"/>
      <c r="E4" s="14"/>
      <c r="F4" s="14"/>
      <c r="G4" s="14"/>
      <c r="H4" s="14"/>
      <c r="I4" s="14"/>
      <c r="J4" s="15"/>
      <c r="K4" s="16"/>
      <c r="L4" s="16"/>
      <c r="M4" s="92"/>
    </row>
    <row r="5" spans="1:13" x14ac:dyDescent="0.25">
      <c r="A5" s="17" t="s">
        <v>5</v>
      </c>
      <c r="B5" s="18" t="s">
        <v>6</v>
      </c>
      <c r="C5" s="120" t="s">
        <v>7</v>
      </c>
      <c r="D5" s="121"/>
      <c r="E5" s="121"/>
      <c r="F5" s="19"/>
      <c r="G5" s="20"/>
      <c r="H5" s="20"/>
      <c r="I5" s="20"/>
      <c r="J5" s="20"/>
      <c r="K5" s="21"/>
      <c r="L5" s="3"/>
    </row>
    <row r="6" spans="1:13" ht="25.5" customHeight="1" x14ac:dyDescent="0.25">
      <c r="A6" s="17" t="s">
        <v>8</v>
      </c>
      <c r="B6" s="94">
        <v>46226</v>
      </c>
      <c r="C6" s="116" t="s">
        <v>9</v>
      </c>
      <c r="D6" s="110" t="s">
        <v>10</v>
      </c>
      <c r="E6" s="22" t="s">
        <v>11</v>
      </c>
      <c r="F6" s="22" t="s">
        <v>12</v>
      </c>
      <c r="G6" s="20"/>
      <c r="H6" s="20"/>
      <c r="I6" s="20"/>
      <c r="J6" s="20"/>
      <c r="K6" s="21"/>
      <c r="L6" s="3"/>
    </row>
    <row r="7" spans="1:13" x14ac:dyDescent="0.25">
      <c r="A7" s="17" t="s">
        <v>13</v>
      </c>
      <c r="B7" s="23">
        <v>1</v>
      </c>
      <c r="C7" s="117">
        <v>1</v>
      </c>
      <c r="D7" s="111">
        <v>46226</v>
      </c>
      <c r="E7" s="24"/>
      <c r="F7" s="25"/>
      <c r="G7" s="20"/>
      <c r="H7" s="20"/>
      <c r="I7" s="20"/>
      <c r="J7" s="20"/>
      <c r="K7" s="21"/>
      <c r="L7" s="3"/>
    </row>
    <row r="8" spans="1:13" x14ac:dyDescent="0.25">
      <c r="A8" s="17"/>
      <c r="B8" s="23"/>
      <c r="C8" s="117"/>
      <c r="D8" s="112"/>
      <c r="E8" s="24"/>
      <c r="F8" s="25"/>
      <c r="G8" s="20"/>
      <c r="H8" s="20"/>
      <c r="I8" s="20"/>
      <c r="J8" s="20"/>
      <c r="K8" s="21"/>
      <c r="L8" s="3"/>
    </row>
    <row r="9" spans="1:13" x14ac:dyDescent="0.25">
      <c r="A9" s="17"/>
      <c r="B9" s="23"/>
      <c r="C9" s="117"/>
      <c r="D9" s="112"/>
      <c r="E9" s="26"/>
      <c r="F9" s="25"/>
      <c r="G9" s="20"/>
      <c r="H9" s="20"/>
      <c r="I9" s="20"/>
      <c r="J9" s="20"/>
      <c r="K9" s="21"/>
      <c r="L9" s="3"/>
    </row>
    <row r="10" spans="1:13" ht="25.5" customHeight="1" x14ac:dyDescent="0.25">
      <c r="A10" s="17" t="s">
        <v>14</v>
      </c>
      <c r="B10" s="23" t="s">
        <v>168</v>
      </c>
      <c r="C10" s="95"/>
      <c r="D10" s="113"/>
      <c r="E10" s="27"/>
      <c r="F10" s="124" t="s">
        <v>15</v>
      </c>
      <c r="G10" s="125"/>
      <c r="H10" s="124" t="s">
        <v>16</v>
      </c>
      <c r="I10" s="125"/>
      <c r="J10" s="3"/>
      <c r="K10" s="3"/>
      <c r="L10" s="3"/>
    </row>
    <row r="11" spans="1:13" ht="38.25" customHeight="1" x14ac:dyDescent="0.25">
      <c r="A11" s="28" t="s">
        <v>17</v>
      </c>
      <c r="B11" s="29" t="s">
        <v>18</v>
      </c>
      <c r="C11" s="118" t="s">
        <v>19</v>
      </c>
      <c r="D11" s="114" t="s">
        <v>20</v>
      </c>
      <c r="E11" s="30" t="s">
        <v>21</v>
      </c>
      <c r="F11" s="31" t="s">
        <v>22</v>
      </c>
      <c r="G11" s="31" t="s">
        <v>23</v>
      </c>
      <c r="H11" s="32" t="s">
        <v>22</v>
      </c>
      <c r="I11" s="32" t="s">
        <v>23</v>
      </c>
      <c r="J11" s="31" t="s">
        <v>24</v>
      </c>
      <c r="K11" s="31" t="s">
        <v>25</v>
      </c>
      <c r="L11" s="31" t="s">
        <v>26</v>
      </c>
    </row>
    <row r="12" spans="1:13" x14ac:dyDescent="0.25">
      <c r="A12" s="33">
        <v>1</v>
      </c>
      <c r="B12" s="34" t="s">
        <v>27</v>
      </c>
      <c r="C12" s="106"/>
      <c r="D12" s="115">
        <f>SUM(C13:C16)</f>
        <v>1</v>
      </c>
      <c r="E12" s="35">
        <f>D12/8</f>
        <v>0.125</v>
      </c>
      <c r="F12" s="35">
        <v>1</v>
      </c>
      <c r="G12" s="35">
        <f>D12/F12/40</f>
        <v>2.5000000000000001E-2</v>
      </c>
      <c r="H12" s="35">
        <v>1</v>
      </c>
      <c r="I12" s="35">
        <f>D12/H12/40</f>
        <v>2.5000000000000001E-2</v>
      </c>
      <c r="J12" s="36"/>
      <c r="K12" s="37"/>
      <c r="L12" s="6"/>
    </row>
    <row r="13" spans="1:13" x14ac:dyDescent="0.25">
      <c r="A13" s="38"/>
      <c r="B13" s="39" t="s">
        <v>28</v>
      </c>
      <c r="C13" s="95">
        <v>0</v>
      </c>
      <c r="D13" s="103"/>
      <c r="E13" s="40"/>
      <c r="F13" s="40"/>
      <c r="G13" s="40"/>
      <c r="H13" s="40"/>
      <c r="I13" s="40"/>
      <c r="J13" s="24"/>
      <c r="K13" s="41"/>
      <c r="L13" s="3"/>
    </row>
    <row r="14" spans="1:13" x14ac:dyDescent="0.25">
      <c r="A14" s="24"/>
      <c r="B14" s="8" t="s">
        <v>29</v>
      </c>
      <c r="C14" s="95">
        <v>0</v>
      </c>
      <c r="D14" s="103"/>
      <c r="E14" s="40"/>
      <c r="F14" s="40"/>
      <c r="G14" s="40"/>
      <c r="H14" s="40"/>
      <c r="I14" s="40"/>
      <c r="J14" s="24"/>
      <c r="K14" s="41"/>
      <c r="L14" s="3"/>
    </row>
    <row r="15" spans="1:13" x14ac:dyDescent="0.25">
      <c r="A15" s="24"/>
      <c r="B15" s="39" t="s">
        <v>30</v>
      </c>
      <c r="C15" s="95">
        <v>1</v>
      </c>
      <c r="D15" s="103"/>
      <c r="E15" s="40"/>
      <c r="F15" s="40"/>
      <c r="G15" s="40"/>
      <c r="H15" s="40"/>
      <c r="I15" s="40"/>
      <c r="J15" s="24" t="s">
        <v>31</v>
      </c>
      <c r="K15" s="41"/>
      <c r="L15" s="3"/>
    </row>
    <row r="16" spans="1:13" x14ac:dyDescent="0.25">
      <c r="A16" s="24"/>
      <c r="B16" s="39" t="s">
        <v>32</v>
      </c>
      <c r="C16" s="95">
        <v>0</v>
      </c>
      <c r="D16" s="103"/>
      <c r="E16" s="40"/>
      <c r="F16" s="40"/>
      <c r="G16" s="40"/>
      <c r="H16" s="40"/>
      <c r="I16" s="40"/>
      <c r="J16" s="24"/>
      <c r="K16" s="41"/>
      <c r="L16" s="3"/>
    </row>
    <row r="17" spans="1:13" x14ac:dyDescent="0.25">
      <c r="A17" s="36">
        <v>2</v>
      </c>
      <c r="B17" s="34" t="s">
        <v>33</v>
      </c>
      <c r="C17" s="106"/>
      <c r="D17" s="115">
        <f>SUM(C18:C19)</f>
        <v>2</v>
      </c>
      <c r="E17" s="35">
        <f>D17/8</f>
        <v>0.25</v>
      </c>
      <c r="F17" s="35">
        <v>1</v>
      </c>
      <c r="G17" s="35">
        <f>D17/F17/40</f>
        <v>0.05</v>
      </c>
      <c r="H17" s="35">
        <v>1</v>
      </c>
      <c r="I17" s="35">
        <f>D17/H17/40</f>
        <v>0.05</v>
      </c>
      <c r="J17" s="36"/>
      <c r="K17" s="37"/>
      <c r="L17" s="6"/>
    </row>
    <row r="18" spans="1:13" x14ac:dyDescent="0.25">
      <c r="A18" s="24"/>
      <c r="B18" s="39" t="s">
        <v>34</v>
      </c>
      <c r="C18" s="95">
        <v>1</v>
      </c>
      <c r="D18" s="103"/>
      <c r="E18" s="42"/>
      <c r="F18" s="42"/>
      <c r="G18" s="42"/>
      <c r="H18" s="42"/>
      <c r="I18" s="42"/>
      <c r="J18" s="43"/>
      <c r="K18" s="41"/>
      <c r="L18" s="3"/>
    </row>
    <row r="19" spans="1:13" x14ac:dyDescent="0.25">
      <c r="A19" s="44"/>
      <c r="B19" s="39" t="s">
        <v>35</v>
      </c>
      <c r="C19" s="95">
        <v>1</v>
      </c>
      <c r="D19" s="103"/>
      <c r="E19" s="42"/>
      <c r="F19" s="42"/>
      <c r="G19" s="42"/>
      <c r="H19" s="42"/>
      <c r="I19" s="42"/>
      <c r="J19" s="43"/>
      <c r="K19" s="41"/>
      <c r="L19" s="3"/>
    </row>
    <row r="20" spans="1:13" x14ac:dyDescent="0.25">
      <c r="A20" s="36">
        <v>3</v>
      </c>
      <c r="B20" s="34" t="s">
        <v>36</v>
      </c>
      <c r="C20" s="106"/>
      <c r="D20" s="115">
        <f>SUM(C21:C22)</f>
        <v>0</v>
      </c>
      <c r="E20" s="35">
        <f>D20/8</f>
        <v>0</v>
      </c>
      <c r="F20" s="35">
        <v>1</v>
      </c>
      <c r="G20" s="35">
        <f>D20/F20/40</f>
        <v>0</v>
      </c>
      <c r="H20" s="35">
        <v>2</v>
      </c>
      <c r="I20" s="35">
        <f>D20/H20/40</f>
        <v>0</v>
      </c>
      <c r="J20" s="45"/>
      <c r="K20" s="37"/>
      <c r="L20" s="6"/>
    </row>
    <row r="21" spans="1:13" x14ac:dyDescent="0.25">
      <c r="A21" s="44"/>
      <c r="B21" s="39" t="s">
        <v>37</v>
      </c>
      <c r="C21" s="95">
        <v>0</v>
      </c>
      <c r="D21" s="103"/>
      <c r="E21" s="42"/>
      <c r="F21" s="42"/>
      <c r="G21" s="42"/>
      <c r="H21" s="42"/>
      <c r="I21" s="42"/>
      <c r="J21" s="43"/>
      <c r="K21" s="41"/>
      <c r="L21" s="3"/>
    </row>
    <row r="22" spans="1:13" x14ac:dyDescent="0.25">
      <c r="A22" s="44"/>
      <c r="B22" s="39" t="s">
        <v>38</v>
      </c>
      <c r="C22" s="95">
        <v>0</v>
      </c>
      <c r="D22" s="103"/>
      <c r="E22" s="42"/>
      <c r="F22" s="42"/>
      <c r="G22" s="42"/>
      <c r="H22" s="42"/>
      <c r="I22" s="42"/>
      <c r="J22" s="43"/>
      <c r="K22" s="41"/>
      <c r="L22" s="3"/>
    </row>
    <row r="23" spans="1:13" x14ac:dyDescent="0.25">
      <c r="A23" s="44"/>
      <c r="B23" s="39"/>
      <c r="C23" s="95"/>
      <c r="D23" s="103"/>
      <c r="E23" s="42"/>
      <c r="F23" s="42"/>
      <c r="G23" s="42"/>
      <c r="H23" s="42"/>
      <c r="I23" s="42"/>
      <c r="J23" s="43"/>
      <c r="K23" s="41"/>
      <c r="L23" s="3"/>
    </row>
    <row r="24" spans="1:13" x14ac:dyDescent="0.25">
      <c r="A24" s="36">
        <v>4</v>
      </c>
      <c r="B24" s="46" t="s">
        <v>39</v>
      </c>
      <c r="C24" s="106"/>
      <c r="D24" s="115">
        <f>C25</f>
        <v>0</v>
      </c>
      <c r="E24" s="35">
        <f>D24/8</f>
        <v>0</v>
      </c>
      <c r="F24" s="35">
        <v>1</v>
      </c>
      <c r="G24" s="35">
        <f>D24/F24/40</f>
        <v>0</v>
      </c>
      <c r="H24" s="35">
        <v>2</v>
      </c>
      <c r="I24" s="35">
        <f>D24/H24/40</f>
        <v>0</v>
      </c>
      <c r="J24" s="36"/>
      <c r="K24" s="37"/>
      <c r="L24" s="6"/>
    </row>
    <row r="25" spans="1:13" x14ac:dyDescent="0.25">
      <c r="A25" s="24"/>
      <c r="B25" s="47" t="s">
        <v>40</v>
      </c>
      <c r="C25" s="95">
        <v>0</v>
      </c>
      <c r="D25" s="103"/>
      <c r="E25" s="42"/>
      <c r="F25" s="42"/>
      <c r="G25" s="42"/>
      <c r="H25" s="42"/>
      <c r="I25" s="42"/>
      <c r="J25" s="43"/>
      <c r="K25" s="41"/>
      <c r="L25" s="3"/>
    </row>
    <row r="26" spans="1:13" x14ac:dyDescent="0.25">
      <c r="A26" s="36">
        <v>5</v>
      </c>
      <c r="B26" s="46" t="s">
        <v>41</v>
      </c>
      <c r="C26" s="106"/>
      <c r="D26" s="115">
        <f>C27</f>
        <v>160</v>
      </c>
      <c r="E26" s="35">
        <f>D26/8</f>
        <v>20</v>
      </c>
      <c r="F26" s="35">
        <v>1</v>
      </c>
      <c r="G26" s="35">
        <f>D26/F26/40</f>
        <v>4</v>
      </c>
      <c r="H26" s="35">
        <v>2</v>
      </c>
      <c r="I26" s="35">
        <f>D26/H26/40</f>
        <v>2</v>
      </c>
      <c r="J26" s="45"/>
      <c r="K26" s="37"/>
      <c r="L26" s="6"/>
    </row>
    <row r="27" spans="1:13" x14ac:dyDescent="0.25">
      <c r="A27" s="48"/>
      <c r="B27" s="49">
        <v>40</v>
      </c>
      <c r="C27" s="95">
        <v>160</v>
      </c>
      <c r="D27" s="103"/>
      <c r="E27" s="42"/>
      <c r="F27" s="42"/>
      <c r="G27" s="42"/>
      <c r="H27" s="42"/>
      <c r="I27" s="42"/>
      <c r="J27" s="43" t="s">
        <v>31</v>
      </c>
      <c r="K27" s="41"/>
      <c r="L27" s="3"/>
    </row>
    <row r="28" spans="1:13" ht="30" x14ac:dyDescent="0.25">
      <c r="A28" s="50">
        <v>6</v>
      </c>
      <c r="B28" s="51" t="s">
        <v>42</v>
      </c>
      <c r="C28" s="52"/>
      <c r="D28" s="53">
        <f>SUM(C29:C92)</f>
        <v>792</v>
      </c>
      <c r="E28" s="53">
        <f>D28/8</f>
        <v>99</v>
      </c>
      <c r="F28" s="53">
        <v>3</v>
      </c>
      <c r="G28" s="53">
        <f>D28/F28/40</f>
        <v>6.6</v>
      </c>
      <c r="H28" s="52">
        <v>4</v>
      </c>
      <c r="I28" s="54">
        <f>D28/H28/40</f>
        <v>4.95</v>
      </c>
      <c r="J28" s="55" t="s">
        <v>31</v>
      </c>
      <c r="K28" s="56"/>
      <c r="L28" s="6" t="s">
        <v>43</v>
      </c>
    </row>
    <row r="29" spans="1:13" ht="32.1" customHeight="1" x14ac:dyDescent="0.25">
      <c r="A29" s="95"/>
      <c r="B29" s="100" t="s">
        <v>44</v>
      </c>
      <c r="C29" s="96">
        <v>16</v>
      </c>
      <c r="D29" s="95"/>
      <c r="E29" s="95"/>
      <c r="F29" s="95"/>
      <c r="G29" s="95"/>
      <c r="H29" s="95"/>
      <c r="I29" s="97"/>
      <c r="J29" s="95"/>
      <c r="K29" s="5"/>
      <c r="L29" s="5" t="s">
        <v>45</v>
      </c>
      <c r="M29" s="1"/>
    </row>
    <row r="30" spans="1:13" ht="32.1" customHeight="1" x14ac:dyDescent="0.25">
      <c r="A30" s="95"/>
      <c r="B30" s="100" t="s">
        <v>46</v>
      </c>
      <c r="C30" s="96">
        <v>8</v>
      </c>
      <c r="D30" s="95"/>
      <c r="E30" s="95"/>
      <c r="F30" s="95"/>
      <c r="G30" s="95"/>
      <c r="H30" s="95"/>
      <c r="I30" s="97"/>
      <c r="J30" s="95"/>
      <c r="K30" s="5"/>
      <c r="L30" s="5" t="s">
        <v>45</v>
      </c>
      <c r="M30" s="1"/>
    </row>
    <row r="31" spans="1:13" ht="32.1" customHeight="1" x14ac:dyDescent="0.25">
      <c r="A31" s="95"/>
      <c r="B31" s="100" t="s">
        <v>47</v>
      </c>
      <c r="C31" s="96">
        <v>14</v>
      </c>
      <c r="D31" s="95"/>
      <c r="E31" s="95"/>
      <c r="F31" s="95"/>
      <c r="G31" s="95"/>
      <c r="H31" s="95"/>
      <c r="I31" s="97"/>
      <c r="J31" s="95"/>
      <c r="K31" s="5"/>
      <c r="L31" s="5" t="s">
        <v>48</v>
      </c>
      <c r="M31" s="1"/>
    </row>
    <row r="32" spans="1:13" ht="32.1" customHeight="1" x14ac:dyDescent="0.25">
      <c r="A32" s="95"/>
      <c r="B32" s="100" t="s">
        <v>49</v>
      </c>
      <c r="C32" s="96">
        <v>14</v>
      </c>
      <c r="D32" s="95"/>
      <c r="E32" s="95"/>
      <c r="F32" s="95"/>
      <c r="G32" s="95"/>
      <c r="H32" s="95"/>
      <c r="I32" s="97"/>
      <c r="J32" s="95"/>
      <c r="K32" s="5"/>
      <c r="L32" s="5" t="s">
        <v>48</v>
      </c>
      <c r="M32" s="1"/>
    </row>
    <row r="33" spans="1:13" s="99" customFormat="1" ht="32.1" customHeight="1" x14ac:dyDescent="0.25">
      <c r="A33" s="95"/>
      <c r="B33" s="101" t="s">
        <v>158</v>
      </c>
      <c r="C33" s="96"/>
      <c r="D33" s="95"/>
      <c r="E33" s="95"/>
      <c r="F33" s="95"/>
      <c r="G33" s="95"/>
      <c r="H33" s="95"/>
      <c r="I33" s="97"/>
      <c r="J33" s="95"/>
      <c r="K33" s="5"/>
      <c r="L33" s="5"/>
      <c r="M33" s="1"/>
    </row>
    <row r="34" spans="1:13" ht="32.1" customHeight="1" x14ac:dyDescent="0.25">
      <c r="A34" s="95"/>
      <c r="B34" s="100" t="s">
        <v>50</v>
      </c>
      <c r="C34" s="96">
        <v>16</v>
      </c>
      <c r="D34" s="95"/>
      <c r="E34" s="95"/>
      <c r="F34" s="95"/>
      <c r="G34" s="95"/>
      <c r="H34" s="95"/>
      <c r="I34" s="97"/>
      <c r="J34" s="95"/>
      <c r="K34" s="5"/>
      <c r="L34" s="5" t="s">
        <v>51</v>
      </c>
      <c r="M34" s="1"/>
    </row>
    <row r="35" spans="1:13" ht="32.1" customHeight="1" x14ac:dyDescent="0.25">
      <c r="A35" s="95"/>
      <c r="B35" s="100" t="s">
        <v>52</v>
      </c>
      <c r="C35" s="96">
        <v>16</v>
      </c>
      <c r="D35" s="95"/>
      <c r="E35" s="95"/>
      <c r="F35" s="95"/>
      <c r="G35" s="95"/>
      <c r="H35" s="95"/>
      <c r="I35" s="97"/>
      <c r="J35" s="95"/>
      <c r="K35" s="5"/>
      <c r="L35" s="5" t="s">
        <v>51</v>
      </c>
      <c r="M35" s="1"/>
    </row>
    <row r="36" spans="1:13" ht="32.1" customHeight="1" x14ac:dyDescent="0.25">
      <c r="A36" s="95"/>
      <c r="B36" s="100" t="s">
        <v>53</v>
      </c>
      <c r="C36" s="96">
        <v>16</v>
      </c>
      <c r="D36" s="95"/>
      <c r="E36" s="95"/>
      <c r="F36" s="95"/>
      <c r="G36" s="95"/>
      <c r="H36" s="95"/>
      <c r="I36" s="97"/>
      <c r="J36" s="95"/>
      <c r="K36" s="5"/>
      <c r="L36" s="5" t="s">
        <v>51</v>
      </c>
      <c r="M36" s="1"/>
    </row>
    <row r="37" spans="1:13" ht="32.1" customHeight="1" x14ac:dyDescent="0.25">
      <c r="A37" s="95"/>
      <c r="B37" s="100" t="s">
        <v>54</v>
      </c>
      <c r="C37" s="96">
        <v>16</v>
      </c>
      <c r="D37" s="95"/>
      <c r="E37" s="95"/>
      <c r="F37" s="95"/>
      <c r="G37" s="95"/>
      <c r="H37" s="95"/>
      <c r="I37" s="97"/>
      <c r="J37" s="95"/>
      <c r="K37" s="5"/>
      <c r="L37" s="5" t="s">
        <v>51</v>
      </c>
      <c r="M37" s="1"/>
    </row>
    <row r="38" spans="1:13" ht="32.1" customHeight="1" x14ac:dyDescent="0.25">
      <c r="A38" s="95"/>
      <c r="B38" s="100" t="s">
        <v>55</v>
      </c>
      <c r="C38" s="96">
        <v>12</v>
      </c>
      <c r="D38" s="95"/>
      <c r="E38" s="95"/>
      <c r="F38" s="95"/>
      <c r="G38" s="95"/>
      <c r="H38" s="95"/>
      <c r="I38" s="97"/>
      <c r="J38" s="95"/>
      <c r="K38" s="5"/>
      <c r="L38" s="5" t="s">
        <v>51</v>
      </c>
      <c r="M38" s="1"/>
    </row>
    <row r="39" spans="1:13" s="93" customFormat="1" ht="32.1" customHeight="1" x14ac:dyDescent="0.25">
      <c r="A39" s="95"/>
      <c r="B39" s="100" t="s">
        <v>56</v>
      </c>
      <c r="C39" s="96">
        <v>12</v>
      </c>
      <c r="D39" s="95"/>
      <c r="E39" s="95"/>
      <c r="F39" s="95"/>
      <c r="G39" s="95"/>
      <c r="H39" s="95"/>
      <c r="I39" s="97"/>
      <c r="J39" s="95"/>
      <c r="K39" s="5"/>
      <c r="L39" s="5" t="s">
        <v>51</v>
      </c>
      <c r="M39" s="1"/>
    </row>
    <row r="40" spans="1:13" s="93" customFormat="1" ht="32.1" customHeight="1" x14ac:dyDescent="0.25">
      <c r="A40" s="95"/>
      <c r="B40" s="100" t="s">
        <v>58</v>
      </c>
      <c r="C40" s="96">
        <v>4</v>
      </c>
      <c r="D40" s="95"/>
      <c r="E40" s="95"/>
      <c r="F40" s="95"/>
      <c r="G40" s="95"/>
      <c r="H40" s="95"/>
      <c r="I40" s="97"/>
      <c r="J40" s="95"/>
      <c r="K40" s="5"/>
      <c r="L40" s="5" t="s">
        <v>57</v>
      </c>
      <c r="M40" s="1"/>
    </row>
    <row r="41" spans="1:13" s="93" customFormat="1" ht="32.1" customHeight="1" x14ac:dyDescent="0.25">
      <c r="A41" s="95"/>
      <c r="B41" s="100" t="s">
        <v>59</v>
      </c>
      <c r="C41" s="96">
        <v>14</v>
      </c>
      <c r="D41" s="95"/>
      <c r="E41" s="95"/>
      <c r="F41" s="95"/>
      <c r="G41" s="95"/>
      <c r="H41" s="95"/>
      <c r="I41" s="97"/>
      <c r="J41" s="95"/>
      <c r="K41" s="5"/>
      <c r="L41" s="5" t="s">
        <v>60</v>
      </c>
      <c r="M41" s="1"/>
    </row>
    <row r="42" spans="1:13" s="93" customFormat="1" ht="32.1" customHeight="1" x14ac:dyDescent="0.25">
      <c r="A42" s="95"/>
      <c r="B42" s="100" t="s">
        <v>61</v>
      </c>
      <c r="C42" s="96">
        <v>14</v>
      </c>
      <c r="D42" s="95"/>
      <c r="E42" s="95"/>
      <c r="F42" s="95"/>
      <c r="G42" s="95"/>
      <c r="H42" s="95"/>
      <c r="I42" s="97"/>
      <c r="J42" s="95"/>
      <c r="K42" s="5"/>
      <c r="L42" s="5" t="s">
        <v>60</v>
      </c>
      <c r="M42" s="1"/>
    </row>
    <row r="43" spans="1:13" s="2" customFormat="1" ht="32.1" customHeight="1" x14ac:dyDescent="0.25">
      <c r="A43" s="95"/>
      <c r="B43" s="101" t="s">
        <v>159</v>
      </c>
      <c r="C43" s="96"/>
      <c r="D43" s="95"/>
      <c r="E43" s="95"/>
      <c r="F43" s="95"/>
      <c r="G43" s="95"/>
      <c r="H43" s="95"/>
      <c r="I43" s="97"/>
      <c r="J43" s="95"/>
      <c r="K43" s="5"/>
      <c r="L43" s="5"/>
      <c r="M43" s="1"/>
    </row>
    <row r="44" spans="1:13" s="93" customFormat="1" ht="32.1" customHeight="1" x14ac:dyDescent="0.25">
      <c r="A44" s="95"/>
      <c r="B44" s="100" t="s">
        <v>62</v>
      </c>
      <c r="C44" s="96">
        <v>14</v>
      </c>
      <c r="D44" s="95"/>
      <c r="E44" s="95"/>
      <c r="F44" s="95"/>
      <c r="G44" s="95"/>
      <c r="H44" s="95"/>
      <c r="I44" s="97"/>
      <c r="J44" s="95"/>
      <c r="K44" s="5"/>
      <c r="L44" s="5" t="s">
        <v>63</v>
      </c>
      <c r="M44" s="1"/>
    </row>
    <row r="45" spans="1:13" s="93" customFormat="1" ht="32.1" customHeight="1" x14ac:dyDescent="0.25">
      <c r="A45" s="95"/>
      <c r="B45" s="100" t="s">
        <v>64</v>
      </c>
      <c r="C45" s="96">
        <v>14</v>
      </c>
      <c r="D45" s="95"/>
      <c r="E45" s="95"/>
      <c r="F45" s="95"/>
      <c r="G45" s="95"/>
      <c r="H45" s="95"/>
      <c r="I45" s="97"/>
      <c r="J45" s="95"/>
      <c r="K45" s="5"/>
      <c r="L45" s="5" t="s">
        <v>63</v>
      </c>
      <c r="M45" s="1"/>
    </row>
    <row r="46" spans="1:13" s="93" customFormat="1" ht="32.1" customHeight="1" x14ac:dyDescent="0.25">
      <c r="A46" s="95"/>
      <c r="B46" s="100" t="s">
        <v>65</v>
      </c>
      <c r="C46" s="96">
        <v>14</v>
      </c>
      <c r="D46" s="95"/>
      <c r="E46" s="95"/>
      <c r="F46" s="95"/>
      <c r="G46" s="95"/>
      <c r="H46" s="95"/>
      <c r="I46" s="97"/>
      <c r="J46" s="95"/>
      <c r="K46" s="5"/>
      <c r="L46" s="5" t="s">
        <v>63</v>
      </c>
      <c r="M46" s="1"/>
    </row>
    <row r="47" spans="1:13" ht="32.1" customHeight="1" x14ac:dyDescent="0.25">
      <c r="A47" s="95"/>
      <c r="B47" s="100" t="s">
        <v>66</v>
      </c>
      <c r="C47" s="96">
        <v>14</v>
      </c>
      <c r="D47" s="95"/>
      <c r="E47" s="95"/>
      <c r="F47" s="95"/>
      <c r="G47" s="95"/>
      <c r="H47" s="95"/>
      <c r="I47" s="97"/>
      <c r="J47" s="95"/>
      <c r="K47" s="5"/>
      <c r="L47" s="5" t="s">
        <v>63</v>
      </c>
      <c r="M47" s="1"/>
    </row>
    <row r="48" spans="1:13" s="99" customFormat="1" ht="32.1" customHeight="1" x14ac:dyDescent="0.25">
      <c r="A48" s="95"/>
      <c r="B48" s="101" t="s">
        <v>160</v>
      </c>
      <c r="C48" s="96"/>
      <c r="D48" s="95"/>
      <c r="E48" s="95"/>
      <c r="F48" s="95"/>
      <c r="G48" s="95"/>
      <c r="H48" s="95"/>
      <c r="I48" s="97"/>
      <c r="J48" s="95"/>
      <c r="K48" s="5"/>
      <c r="L48" s="5"/>
      <c r="M48" s="1"/>
    </row>
    <row r="49" spans="1:13" ht="32.1" customHeight="1" x14ac:dyDescent="0.25">
      <c r="A49" s="95"/>
      <c r="B49" s="100" t="s">
        <v>67</v>
      </c>
      <c r="C49" s="96">
        <v>14</v>
      </c>
      <c r="D49" s="95"/>
      <c r="E49" s="95"/>
      <c r="F49" s="95"/>
      <c r="G49" s="95"/>
      <c r="H49" s="95"/>
      <c r="I49" s="97"/>
      <c r="J49" s="95"/>
      <c r="K49" s="5"/>
      <c r="L49" s="5" t="s">
        <v>68</v>
      </c>
      <c r="M49" s="1"/>
    </row>
    <row r="50" spans="1:13" ht="32.1" customHeight="1" x14ac:dyDescent="0.25">
      <c r="A50" s="95"/>
      <c r="B50" s="100" t="s">
        <v>69</v>
      </c>
      <c r="C50" s="96">
        <v>14</v>
      </c>
      <c r="D50" s="95"/>
      <c r="E50" s="95"/>
      <c r="F50" s="95"/>
      <c r="G50" s="95"/>
      <c r="H50" s="95"/>
      <c r="I50" s="97"/>
      <c r="J50" s="95"/>
      <c r="K50" s="5"/>
      <c r="L50" s="5" t="s">
        <v>68</v>
      </c>
      <c r="M50" s="1"/>
    </row>
    <row r="51" spans="1:13" ht="32.1" customHeight="1" x14ac:dyDescent="0.25">
      <c r="A51" s="95"/>
      <c r="B51" s="100" t="s">
        <v>70</v>
      </c>
      <c r="C51" s="96">
        <v>12</v>
      </c>
      <c r="D51" s="95"/>
      <c r="E51" s="95"/>
      <c r="F51" s="95"/>
      <c r="G51" s="95"/>
      <c r="H51" s="95"/>
      <c r="I51" s="97"/>
      <c r="J51" s="95"/>
      <c r="K51" s="5"/>
      <c r="L51" s="5" t="s">
        <v>68</v>
      </c>
      <c r="M51" s="1"/>
    </row>
    <row r="52" spans="1:13" ht="32.1" customHeight="1" x14ac:dyDescent="0.25">
      <c r="A52" s="95"/>
      <c r="B52" s="100" t="s">
        <v>71</v>
      </c>
      <c r="C52" s="96">
        <v>16</v>
      </c>
      <c r="D52" s="95"/>
      <c r="E52" s="95"/>
      <c r="F52" s="95"/>
      <c r="G52" s="95"/>
      <c r="H52" s="95"/>
      <c r="I52" s="97"/>
      <c r="J52" s="95"/>
      <c r="K52" s="5"/>
      <c r="L52" s="5" t="s">
        <v>72</v>
      </c>
      <c r="M52" s="1"/>
    </row>
    <row r="53" spans="1:13" ht="32.1" customHeight="1" x14ac:dyDescent="0.25">
      <c r="A53" s="95"/>
      <c r="B53" s="100" t="s">
        <v>73</v>
      </c>
      <c r="C53" s="96">
        <v>14</v>
      </c>
      <c r="D53" s="95"/>
      <c r="E53" s="95"/>
      <c r="F53" s="95"/>
      <c r="G53" s="95"/>
      <c r="H53" s="95"/>
      <c r="I53" s="97"/>
      <c r="J53" s="95"/>
      <c r="K53" s="5"/>
      <c r="L53" s="5" t="s">
        <v>72</v>
      </c>
      <c r="M53" s="1"/>
    </row>
    <row r="54" spans="1:13" ht="32.1" customHeight="1" x14ac:dyDescent="0.25">
      <c r="A54" s="95"/>
      <c r="B54" s="100" t="s">
        <v>74</v>
      </c>
      <c r="C54" s="96">
        <v>14</v>
      </c>
      <c r="D54" s="95"/>
      <c r="E54" s="95"/>
      <c r="F54" s="95"/>
      <c r="G54" s="95"/>
      <c r="H54" s="95"/>
      <c r="I54" s="97"/>
      <c r="J54" s="95"/>
      <c r="K54" s="5"/>
      <c r="L54" s="5" t="s">
        <v>75</v>
      </c>
      <c r="M54" s="1"/>
    </row>
    <row r="55" spans="1:13" ht="32.1" customHeight="1" x14ac:dyDescent="0.25">
      <c r="A55" s="95"/>
      <c r="B55" s="100" t="s">
        <v>76</v>
      </c>
      <c r="C55" s="96">
        <v>16</v>
      </c>
      <c r="D55" s="95"/>
      <c r="E55" s="95"/>
      <c r="F55" s="95"/>
      <c r="G55" s="95"/>
      <c r="H55" s="95"/>
      <c r="I55" s="97"/>
      <c r="J55" s="95"/>
      <c r="K55" s="5"/>
      <c r="L55" s="5" t="s">
        <v>77</v>
      </c>
      <c r="M55" s="1"/>
    </row>
    <row r="56" spans="1:13" ht="32.1" customHeight="1" x14ac:dyDescent="0.25">
      <c r="A56" s="95"/>
      <c r="B56" s="100" t="s">
        <v>78</v>
      </c>
      <c r="C56" s="96">
        <v>16</v>
      </c>
      <c r="D56" s="95"/>
      <c r="E56" s="95"/>
      <c r="F56" s="95"/>
      <c r="G56" s="95"/>
      <c r="H56" s="95"/>
      <c r="I56" s="97"/>
      <c r="J56" s="95"/>
      <c r="K56" s="5"/>
      <c r="L56" s="5" t="s">
        <v>77</v>
      </c>
      <c r="M56" s="1"/>
    </row>
    <row r="57" spans="1:13" ht="32.1" customHeight="1" x14ac:dyDescent="0.25">
      <c r="A57" s="95"/>
      <c r="B57" s="100" t="s">
        <v>79</v>
      </c>
      <c r="C57" s="96">
        <v>16</v>
      </c>
      <c r="D57" s="95"/>
      <c r="E57" s="95"/>
      <c r="F57" s="95"/>
      <c r="G57" s="95"/>
      <c r="H57" s="95"/>
      <c r="I57" s="97"/>
      <c r="J57" s="95"/>
      <c r="K57" s="5"/>
      <c r="L57" s="5" t="s">
        <v>77</v>
      </c>
      <c r="M57" s="1"/>
    </row>
    <row r="58" spans="1:13" ht="32.1" customHeight="1" x14ac:dyDescent="0.25">
      <c r="A58" s="95"/>
      <c r="B58" s="100" t="s">
        <v>80</v>
      </c>
      <c r="C58" s="96">
        <v>14</v>
      </c>
      <c r="D58" s="95"/>
      <c r="E58" s="95"/>
      <c r="F58" s="95"/>
      <c r="G58" s="95"/>
      <c r="H58" s="95"/>
      <c r="I58" s="97"/>
      <c r="J58" s="95"/>
      <c r="K58" s="5"/>
      <c r="L58" s="5" t="s">
        <v>81</v>
      </c>
      <c r="M58" s="1"/>
    </row>
    <row r="59" spans="1:13" ht="32.1" customHeight="1" x14ac:dyDescent="0.25">
      <c r="A59" s="95"/>
      <c r="B59" s="100" t="s">
        <v>82</v>
      </c>
      <c r="C59" s="96">
        <v>14</v>
      </c>
      <c r="D59" s="95"/>
      <c r="E59" s="95"/>
      <c r="F59" s="95"/>
      <c r="G59" s="95"/>
      <c r="H59" s="95"/>
      <c r="I59" s="97"/>
      <c r="J59" s="95"/>
      <c r="K59" s="5"/>
      <c r="L59" s="5" t="s">
        <v>81</v>
      </c>
      <c r="M59" s="1"/>
    </row>
    <row r="60" spans="1:13" s="99" customFormat="1" ht="32.1" customHeight="1" x14ac:dyDescent="0.25">
      <c r="A60" s="95"/>
      <c r="B60" s="101" t="s">
        <v>161</v>
      </c>
      <c r="C60" s="96"/>
      <c r="D60" s="95"/>
      <c r="E60" s="95"/>
      <c r="F60" s="95"/>
      <c r="G60" s="95"/>
      <c r="H60" s="95"/>
      <c r="I60" s="97"/>
      <c r="J60" s="95"/>
      <c r="K60" s="5"/>
      <c r="L60" s="5"/>
      <c r="M60" s="1"/>
    </row>
    <row r="61" spans="1:13" ht="32.1" customHeight="1" x14ac:dyDescent="0.25">
      <c r="A61" s="95"/>
      <c r="B61" s="100" t="s">
        <v>162</v>
      </c>
      <c r="C61" s="96">
        <v>16</v>
      </c>
      <c r="D61" s="95"/>
      <c r="E61" s="95"/>
      <c r="F61" s="95"/>
      <c r="G61" s="95"/>
      <c r="H61" s="95"/>
      <c r="I61" s="97"/>
      <c r="J61" s="95"/>
      <c r="K61" s="5"/>
      <c r="L61" s="5" t="s">
        <v>83</v>
      </c>
      <c r="M61" s="1"/>
    </row>
    <row r="62" spans="1:13" ht="32.1" customHeight="1" x14ac:dyDescent="0.25">
      <c r="A62" s="95"/>
      <c r="B62" s="100" t="s">
        <v>84</v>
      </c>
      <c r="C62" s="96">
        <v>16</v>
      </c>
      <c r="D62" s="95"/>
      <c r="E62" s="95"/>
      <c r="F62" s="95"/>
      <c r="G62" s="95"/>
      <c r="H62" s="95"/>
      <c r="I62" s="97"/>
      <c r="J62" s="95"/>
      <c r="K62" s="5"/>
      <c r="L62" s="5" t="s">
        <v>83</v>
      </c>
      <c r="M62" s="1"/>
    </row>
    <row r="63" spans="1:13" ht="32.1" customHeight="1" x14ac:dyDescent="0.25">
      <c r="A63" s="95"/>
      <c r="B63" s="100" t="s">
        <v>85</v>
      </c>
      <c r="C63" s="96">
        <v>16</v>
      </c>
      <c r="D63" s="95"/>
      <c r="E63" s="95"/>
      <c r="F63" s="95"/>
      <c r="G63" s="95"/>
      <c r="H63" s="95"/>
      <c r="I63" s="97"/>
      <c r="J63" s="95"/>
      <c r="K63" s="5"/>
      <c r="L63" s="5" t="s">
        <v>83</v>
      </c>
      <c r="M63" s="1"/>
    </row>
    <row r="64" spans="1:13" s="99" customFormat="1" ht="32.1" customHeight="1" x14ac:dyDescent="0.25">
      <c r="A64" s="95"/>
      <c r="B64" s="101" t="s">
        <v>163</v>
      </c>
      <c r="C64" s="96"/>
      <c r="D64" s="95"/>
      <c r="E64" s="95"/>
      <c r="F64" s="95"/>
      <c r="G64" s="95"/>
      <c r="H64" s="95"/>
      <c r="I64" s="97"/>
      <c r="J64" s="95"/>
      <c r="K64" s="5"/>
      <c r="L64" s="5"/>
      <c r="M64" s="1"/>
    </row>
    <row r="65" spans="1:13" ht="32.1" customHeight="1" x14ac:dyDescent="0.25">
      <c r="A65" s="95"/>
      <c r="B65" s="100" t="s">
        <v>86</v>
      </c>
      <c r="C65" s="96">
        <v>14</v>
      </c>
      <c r="D65" s="95"/>
      <c r="E65" s="95"/>
      <c r="F65" s="95"/>
      <c r="G65" s="95"/>
      <c r="H65" s="95"/>
      <c r="I65" s="97"/>
      <c r="J65" s="95"/>
      <c r="K65" s="5"/>
      <c r="L65" s="5" t="s">
        <v>87</v>
      </c>
      <c r="M65" s="1"/>
    </row>
    <row r="66" spans="1:13" ht="32.1" customHeight="1" x14ac:dyDescent="0.25">
      <c r="A66" s="95"/>
      <c r="B66" s="100" t="s">
        <v>88</v>
      </c>
      <c r="C66" s="96">
        <v>14</v>
      </c>
      <c r="D66" s="95"/>
      <c r="E66" s="95"/>
      <c r="F66" s="95"/>
      <c r="G66" s="95"/>
      <c r="H66" s="95"/>
      <c r="I66" s="97"/>
      <c r="J66" s="95"/>
      <c r="K66" s="5"/>
      <c r="L66" s="5" t="s">
        <v>87</v>
      </c>
      <c r="M66" s="1"/>
    </row>
    <row r="67" spans="1:13" ht="32.1" customHeight="1" x14ac:dyDescent="0.25">
      <c r="A67" s="95"/>
      <c r="B67" s="100" t="s">
        <v>89</v>
      </c>
      <c r="C67" s="96">
        <v>12</v>
      </c>
      <c r="D67" s="95"/>
      <c r="E67" s="95"/>
      <c r="F67" s="95"/>
      <c r="G67" s="95"/>
      <c r="H67" s="95"/>
      <c r="I67" s="97"/>
      <c r="J67" s="95"/>
      <c r="K67" s="5"/>
      <c r="L67" s="5" t="s">
        <v>87</v>
      </c>
      <c r="M67" s="1"/>
    </row>
    <row r="68" spans="1:13" s="99" customFormat="1" ht="32.1" customHeight="1" x14ac:dyDescent="0.25">
      <c r="A68" s="95"/>
      <c r="B68" s="101" t="s">
        <v>164</v>
      </c>
      <c r="C68" s="96"/>
      <c r="D68" s="95"/>
      <c r="E68" s="95"/>
      <c r="F68" s="95"/>
      <c r="G68" s="95"/>
      <c r="H68" s="95"/>
      <c r="I68" s="97"/>
      <c r="J68" s="95"/>
      <c r="K68" s="5"/>
      <c r="L68" s="5"/>
      <c r="M68" s="1"/>
    </row>
    <row r="69" spans="1:13" ht="32.1" customHeight="1" x14ac:dyDescent="0.25">
      <c r="A69" s="95"/>
      <c r="B69" s="100" t="s">
        <v>90</v>
      </c>
      <c r="C69" s="96">
        <v>14</v>
      </c>
      <c r="D69" s="95"/>
      <c r="E69" s="95"/>
      <c r="F69" s="95"/>
      <c r="G69" s="95"/>
      <c r="H69" s="95"/>
      <c r="I69" s="97"/>
      <c r="J69" s="95"/>
      <c r="K69" s="5"/>
      <c r="L69" s="5" t="s">
        <v>91</v>
      </c>
      <c r="M69" s="1"/>
    </row>
    <row r="70" spans="1:13" ht="32.1" customHeight="1" x14ac:dyDescent="0.25">
      <c r="A70" s="95"/>
      <c r="B70" s="100" t="s">
        <v>92</v>
      </c>
      <c r="C70" s="96">
        <v>14</v>
      </c>
      <c r="D70" s="95"/>
      <c r="E70" s="95"/>
      <c r="F70" s="95"/>
      <c r="G70" s="95"/>
      <c r="H70" s="95"/>
      <c r="I70" s="97"/>
      <c r="J70" s="95"/>
      <c r="K70" s="5"/>
      <c r="L70" s="5" t="s">
        <v>91</v>
      </c>
      <c r="M70" s="1"/>
    </row>
    <row r="71" spans="1:13" ht="32.1" customHeight="1" x14ac:dyDescent="0.25">
      <c r="A71" s="95"/>
      <c r="B71" s="100" t="s">
        <v>93</v>
      </c>
      <c r="C71" s="96">
        <v>14</v>
      </c>
      <c r="D71" s="95"/>
      <c r="E71" s="95"/>
      <c r="F71" s="95"/>
      <c r="G71" s="95"/>
      <c r="H71" s="95"/>
      <c r="I71" s="97"/>
      <c r="J71" s="95"/>
      <c r="K71" s="5"/>
      <c r="L71" s="5" t="s">
        <v>91</v>
      </c>
      <c r="M71" s="1"/>
    </row>
    <row r="72" spans="1:13" s="99" customFormat="1" ht="32.1" customHeight="1" x14ac:dyDescent="0.25">
      <c r="A72" s="95"/>
      <c r="B72" s="101" t="s">
        <v>166</v>
      </c>
      <c r="C72" s="96"/>
      <c r="D72" s="95"/>
      <c r="E72" s="95"/>
      <c r="F72" s="95"/>
      <c r="G72" s="95"/>
      <c r="H72" s="95"/>
      <c r="I72" s="97"/>
      <c r="J72" s="95"/>
      <c r="K72" s="5"/>
      <c r="L72" s="5"/>
      <c r="M72" s="1"/>
    </row>
    <row r="73" spans="1:13" ht="32.1" customHeight="1" x14ac:dyDescent="0.25">
      <c r="A73" s="95"/>
      <c r="B73" s="100" t="s">
        <v>94</v>
      </c>
      <c r="C73" s="96">
        <v>16</v>
      </c>
      <c r="D73" s="95"/>
      <c r="E73" s="95"/>
      <c r="F73" s="95"/>
      <c r="G73" s="95"/>
      <c r="H73" s="95"/>
      <c r="I73" s="97"/>
      <c r="J73" s="95"/>
      <c r="K73" s="5"/>
      <c r="L73" s="5" t="s">
        <v>95</v>
      </c>
      <c r="M73" s="1"/>
    </row>
    <row r="74" spans="1:13" ht="32.1" customHeight="1" x14ac:dyDescent="0.25">
      <c r="A74" s="95"/>
      <c r="B74" s="100" t="s">
        <v>96</v>
      </c>
      <c r="C74" s="96">
        <v>16</v>
      </c>
      <c r="D74" s="95"/>
      <c r="E74" s="95"/>
      <c r="F74" s="95"/>
      <c r="G74" s="95"/>
      <c r="H74" s="95"/>
      <c r="I74" s="97"/>
      <c r="J74" s="95"/>
      <c r="K74" s="5"/>
      <c r="L74" s="5" t="s">
        <v>95</v>
      </c>
      <c r="M74" s="1"/>
    </row>
    <row r="75" spans="1:13" ht="32.1" customHeight="1" x14ac:dyDescent="0.25">
      <c r="A75" s="95"/>
      <c r="B75" s="100" t="s">
        <v>97</v>
      </c>
      <c r="C75" s="96">
        <v>16</v>
      </c>
      <c r="D75" s="95"/>
      <c r="E75" s="95"/>
      <c r="F75" s="95"/>
      <c r="G75" s="95"/>
      <c r="H75" s="95"/>
      <c r="I75" s="97"/>
      <c r="J75" s="95"/>
      <c r="K75" s="5"/>
      <c r="L75" s="5" t="s">
        <v>95</v>
      </c>
      <c r="M75" s="1"/>
    </row>
    <row r="76" spans="1:13" ht="32.1" customHeight="1" x14ac:dyDescent="0.25">
      <c r="A76" s="95"/>
      <c r="B76" s="100" t="s">
        <v>98</v>
      </c>
      <c r="C76" s="96">
        <v>16</v>
      </c>
      <c r="D76" s="95"/>
      <c r="E76" s="95"/>
      <c r="F76" s="95"/>
      <c r="G76" s="95"/>
      <c r="H76" s="95"/>
      <c r="I76" s="97"/>
      <c r="J76" s="95"/>
      <c r="K76" s="5"/>
      <c r="L76" s="5" t="s">
        <v>95</v>
      </c>
      <c r="M76" s="1"/>
    </row>
    <row r="77" spans="1:13" ht="32.1" customHeight="1" x14ac:dyDescent="0.25">
      <c r="A77" s="95"/>
      <c r="B77" s="100" t="s">
        <v>99</v>
      </c>
      <c r="C77" s="96">
        <v>16</v>
      </c>
      <c r="D77" s="95"/>
      <c r="E77" s="95"/>
      <c r="F77" s="95"/>
      <c r="G77" s="95"/>
      <c r="H77" s="95"/>
      <c r="I77" s="97"/>
      <c r="J77" s="95"/>
      <c r="K77" s="5"/>
      <c r="L77" s="5" t="s">
        <v>100</v>
      </c>
      <c r="M77" s="1"/>
    </row>
    <row r="78" spans="1:13" ht="32.1" customHeight="1" x14ac:dyDescent="0.25">
      <c r="A78" s="95"/>
      <c r="B78" s="100" t="s">
        <v>101</v>
      </c>
      <c r="C78" s="96">
        <v>16</v>
      </c>
      <c r="D78" s="95"/>
      <c r="E78" s="95"/>
      <c r="F78" s="95"/>
      <c r="G78" s="95"/>
      <c r="H78" s="95"/>
      <c r="I78" s="97"/>
      <c r="J78" s="95"/>
      <c r="K78" s="5"/>
      <c r="L78" s="5" t="s">
        <v>100</v>
      </c>
      <c r="M78" s="1"/>
    </row>
    <row r="79" spans="1:13" s="99" customFormat="1" ht="32.1" customHeight="1" x14ac:dyDescent="0.25">
      <c r="A79" s="95"/>
      <c r="B79" s="101" t="s">
        <v>165</v>
      </c>
      <c r="C79" s="96"/>
      <c r="D79" s="95"/>
      <c r="E79" s="95"/>
      <c r="F79" s="95"/>
      <c r="G79" s="95"/>
      <c r="H79" s="95"/>
      <c r="I79" s="97"/>
      <c r="J79" s="95"/>
      <c r="K79" s="5"/>
      <c r="L79" s="5"/>
      <c r="M79" s="1"/>
    </row>
    <row r="80" spans="1:13" ht="32.1" customHeight="1" x14ac:dyDescent="0.25">
      <c r="A80" s="95"/>
      <c r="B80" s="100" t="s">
        <v>102</v>
      </c>
      <c r="C80" s="96">
        <v>16</v>
      </c>
      <c r="D80" s="95"/>
      <c r="E80" s="95"/>
      <c r="F80" s="95"/>
      <c r="G80" s="95"/>
      <c r="H80" s="95"/>
      <c r="I80" s="97"/>
      <c r="J80" s="95"/>
      <c r="K80" s="5"/>
      <c r="L80" s="5" t="s">
        <v>103</v>
      </c>
      <c r="M80" s="1"/>
    </row>
    <row r="81" spans="1:13" ht="32.1" customHeight="1" x14ac:dyDescent="0.25">
      <c r="A81" s="95"/>
      <c r="B81" s="100" t="s">
        <v>104</v>
      </c>
      <c r="C81" s="96">
        <v>16</v>
      </c>
      <c r="D81" s="95"/>
      <c r="E81" s="95"/>
      <c r="F81" s="95"/>
      <c r="G81" s="95"/>
      <c r="H81" s="95"/>
      <c r="I81" s="97"/>
      <c r="J81" s="95"/>
      <c r="K81" s="5"/>
      <c r="L81" s="5" t="s">
        <v>103</v>
      </c>
      <c r="M81" s="1"/>
    </row>
    <row r="82" spans="1:13" ht="32.1" customHeight="1" x14ac:dyDescent="0.25">
      <c r="A82" s="95"/>
      <c r="B82" s="100" t="s">
        <v>105</v>
      </c>
      <c r="C82" s="96">
        <v>16</v>
      </c>
      <c r="D82" s="95"/>
      <c r="E82" s="95"/>
      <c r="F82" s="95"/>
      <c r="G82" s="95"/>
      <c r="H82" s="95"/>
      <c r="I82" s="97"/>
      <c r="J82" s="95"/>
      <c r="K82" s="5"/>
      <c r="L82" s="5" t="s">
        <v>103</v>
      </c>
      <c r="M82" s="1"/>
    </row>
    <row r="83" spans="1:13" s="99" customFormat="1" ht="32.1" customHeight="1" x14ac:dyDescent="0.25">
      <c r="A83" s="95"/>
      <c r="B83" s="101" t="s">
        <v>167</v>
      </c>
      <c r="C83" s="96"/>
      <c r="D83" s="95"/>
      <c r="E83" s="95"/>
      <c r="F83" s="95"/>
      <c r="G83" s="95"/>
      <c r="H83" s="95"/>
      <c r="I83" s="97"/>
      <c r="J83" s="95"/>
      <c r="K83" s="5"/>
      <c r="L83" s="5"/>
      <c r="M83" s="1"/>
    </row>
    <row r="84" spans="1:13" ht="32.1" customHeight="1" x14ac:dyDescent="0.25">
      <c r="A84" s="95"/>
      <c r="B84" s="100" t="s">
        <v>106</v>
      </c>
      <c r="C84" s="96">
        <v>16</v>
      </c>
      <c r="D84" s="95"/>
      <c r="E84" s="95"/>
      <c r="F84" s="95"/>
      <c r="G84" s="95"/>
      <c r="H84" s="95"/>
      <c r="I84" s="97"/>
      <c r="J84" s="95"/>
      <c r="K84" s="5"/>
      <c r="L84" s="5" t="s">
        <v>107</v>
      </c>
      <c r="M84" s="1"/>
    </row>
    <row r="85" spans="1:13" ht="32.1" customHeight="1" x14ac:dyDescent="0.25">
      <c r="A85" s="95"/>
      <c r="B85" s="100" t="s">
        <v>108</v>
      </c>
      <c r="C85" s="96">
        <v>16</v>
      </c>
      <c r="D85" s="95"/>
      <c r="E85" s="95"/>
      <c r="F85" s="95"/>
      <c r="G85" s="95"/>
      <c r="H85" s="95"/>
      <c r="I85" s="97"/>
      <c r="J85" s="95"/>
      <c r="K85" s="5"/>
      <c r="L85" s="5" t="s">
        <v>109</v>
      </c>
      <c r="M85" s="1"/>
    </row>
    <row r="86" spans="1:13" ht="32.1" customHeight="1" x14ac:dyDescent="0.25">
      <c r="A86" s="95"/>
      <c r="B86" s="100" t="s">
        <v>110</v>
      </c>
      <c r="C86" s="96">
        <v>16</v>
      </c>
      <c r="D86" s="95"/>
      <c r="E86" s="95"/>
      <c r="F86" s="95"/>
      <c r="G86" s="95"/>
      <c r="H86" s="95"/>
      <c r="I86" s="97"/>
      <c r="J86" s="95"/>
      <c r="K86" s="5"/>
      <c r="L86" s="5" t="s">
        <v>109</v>
      </c>
      <c r="M86" s="1"/>
    </row>
    <row r="87" spans="1:13" ht="32.1" customHeight="1" x14ac:dyDescent="0.25">
      <c r="A87" s="95"/>
      <c r="B87" s="100" t="s">
        <v>111</v>
      </c>
      <c r="C87" s="96">
        <v>14</v>
      </c>
      <c r="D87" s="95"/>
      <c r="E87" s="95"/>
      <c r="F87" s="95"/>
      <c r="G87" s="95"/>
      <c r="H87" s="95"/>
      <c r="I87" s="97"/>
      <c r="J87" s="95"/>
      <c r="K87" s="5"/>
      <c r="L87" s="5" t="s">
        <v>112</v>
      </c>
      <c r="M87" s="1"/>
    </row>
    <row r="88" spans="1:13" ht="32.1" customHeight="1" x14ac:dyDescent="0.25">
      <c r="A88" s="95"/>
      <c r="B88" s="100" t="s">
        <v>113</v>
      </c>
      <c r="C88" s="96">
        <v>14</v>
      </c>
      <c r="D88" s="95"/>
      <c r="E88" s="95"/>
      <c r="F88" s="95"/>
      <c r="G88" s="95"/>
      <c r="H88" s="95"/>
      <c r="I88" s="97"/>
      <c r="J88" s="95"/>
      <c r="K88" s="5"/>
      <c r="L88" s="5" t="s">
        <v>112</v>
      </c>
      <c r="M88" s="1"/>
    </row>
    <row r="89" spans="1:13" ht="32.1" customHeight="1" x14ac:dyDescent="0.25">
      <c r="A89" s="95"/>
      <c r="B89" s="100" t="s">
        <v>114</v>
      </c>
      <c r="C89" s="96">
        <v>14</v>
      </c>
      <c r="D89" s="95"/>
      <c r="E89" s="95"/>
      <c r="F89" s="95"/>
      <c r="G89" s="95"/>
      <c r="H89" s="95"/>
      <c r="I89" s="97"/>
      <c r="J89" s="95"/>
      <c r="K89" s="5"/>
      <c r="L89" s="5" t="s">
        <v>115</v>
      </c>
      <c r="M89" s="1"/>
    </row>
    <row r="90" spans="1:13" ht="32.1" customHeight="1" x14ac:dyDescent="0.25">
      <c r="A90" s="95"/>
      <c r="B90" s="100" t="s">
        <v>116</v>
      </c>
      <c r="C90" s="96">
        <v>12</v>
      </c>
      <c r="D90" s="95"/>
      <c r="E90" s="95"/>
      <c r="F90" s="95"/>
      <c r="G90" s="95"/>
      <c r="H90" s="95"/>
      <c r="I90" s="97"/>
      <c r="J90" s="95"/>
      <c r="K90" s="5"/>
      <c r="L90" s="5" t="s">
        <v>115</v>
      </c>
      <c r="M90" s="1"/>
    </row>
    <row r="91" spans="1:13" ht="32.1" customHeight="1" x14ac:dyDescent="0.25">
      <c r="A91" s="95"/>
      <c r="B91" s="100" t="s">
        <v>117</v>
      </c>
      <c r="C91" s="96">
        <v>16</v>
      </c>
      <c r="D91" s="95"/>
      <c r="E91" s="95"/>
      <c r="F91" s="95"/>
      <c r="G91" s="95"/>
      <c r="H91" s="95"/>
      <c r="I91" s="97"/>
      <c r="J91" s="95"/>
      <c r="K91" s="5"/>
      <c r="L91" s="5" t="s">
        <v>118</v>
      </c>
      <c r="M91" s="1"/>
    </row>
    <row r="92" spans="1:13" ht="32.1" customHeight="1" x14ac:dyDescent="0.25">
      <c r="A92" s="95"/>
      <c r="B92" s="100" t="s">
        <v>119</v>
      </c>
      <c r="C92" s="96">
        <v>12</v>
      </c>
      <c r="D92" s="95"/>
      <c r="E92" s="95"/>
      <c r="F92" s="95"/>
      <c r="G92" s="95"/>
      <c r="H92" s="95"/>
      <c r="I92" s="97"/>
      <c r="J92" s="95"/>
      <c r="K92" s="5"/>
      <c r="L92" s="5" t="s">
        <v>118</v>
      </c>
      <c r="M92" s="1"/>
    </row>
    <row r="93" spans="1:13" x14ac:dyDescent="0.25">
      <c r="A93" s="45">
        <v>7</v>
      </c>
      <c r="B93" s="57" t="s">
        <v>120</v>
      </c>
      <c r="C93" s="106"/>
      <c r="D93" s="58">
        <f>C94</f>
        <v>8</v>
      </c>
      <c r="E93" s="58">
        <f>D93/8</f>
        <v>1</v>
      </c>
      <c r="F93" s="58">
        <v>1</v>
      </c>
      <c r="G93" s="58">
        <f>D93/F93/40</f>
        <v>0.2</v>
      </c>
      <c r="H93" s="58">
        <v>1</v>
      </c>
      <c r="I93" s="59">
        <f>D93/H93/40</f>
        <v>0.2</v>
      </c>
      <c r="J93" s="58"/>
      <c r="K93" s="60"/>
      <c r="L93" s="6"/>
    </row>
    <row r="94" spans="1:13" x14ac:dyDescent="0.25">
      <c r="A94" s="24"/>
      <c r="B94" s="49" t="s">
        <v>120</v>
      </c>
      <c r="C94" s="109">
        <v>8</v>
      </c>
      <c r="D94" s="40"/>
      <c r="E94" s="40"/>
      <c r="F94" s="40"/>
      <c r="G94" s="40"/>
      <c r="H94" s="40"/>
      <c r="I94" s="40"/>
      <c r="J94" s="40"/>
      <c r="K94" s="41"/>
      <c r="L94" s="3"/>
    </row>
    <row r="95" spans="1:13" x14ac:dyDescent="0.25">
      <c r="A95" s="24"/>
      <c r="B95" s="61"/>
      <c r="C95" s="95"/>
      <c r="D95" s="40"/>
      <c r="E95" s="40"/>
      <c r="F95" s="40"/>
      <c r="G95" s="40"/>
      <c r="H95" s="40"/>
      <c r="I95" s="40"/>
      <c r="J95" s="24"/>
      <c r="K95" s="41"/>
      <c r="L95" s="3"/>
    </row>
    <row r="96" spans="1:13" x14ac:dyDescent="0.25">
      <c r="A96" s="36">
        <v>8</v>
      </c>
      <c r="B96" s="62" t="s">
        <v>121</v>
      </c>
      <c r="C96" s="106"/>
      <c r="D96" s="35">
        <f>SUM(C97:C106)</f>
        <v>256</v>
      </c>
      <c r="E96" s="35">
        <f>D96/8</f>
        <v>32</v>
      </c>
      <c r="F96" s="35">
        <v>1</v>
      </c>
      <c r="G96" s="35">
        <f>D96/F96/40</f>
        <v>6.4</v>
      </c>
      <c r="H96" s="58">
        <v>1</v>
      </c>
      <c r="I96" s="59">
        <f>D96/H96/40</f>
        <v>6.4</v>
      </c>
      <c r="J96" s="36" t="s">
        <v>31</v>
      </c>
      <c r="K96" s="37"/>
      <c r="L96" s="6"/>
    </row>
    <row r="97" spans="1:12" x14ac:dyDescent="0.25">
      <c r="A97" s="24"/>
      <c r="B97" s="63" t="s">
        <v>122</v>
      </c>
      <c r="C97" s="4">
        <v>40</v>
      </c>
      <c r="D97" s="40"/>
      <c r="E97" s="40"/>
      <c r="F97" s="40"/>
      <c r="G97" s="40"/>
      <c r="H97" s="40"/>
      <c r="I97" s="40"/>
      <c r="J97" s="24"/>
      <c r="K97" s="41"/>
      <c r="L97" s="3"/>
    </row>
    <row r="98" spans="1:12" x14ac:dyDescent="0.25">
      <c r="A98" s="44"/>
      <c r="B98" s="64" t="s">
        <v>123</v>
      </c>
      <c r="C98" s="65">
        <v>100</v>
      </c>
      <c r="D98" s="40"/>
      <c r="E98" s="40"/>
      <c r="F98" s="40"/>
      <c r="G98" s="40"/>
      <c r="H98" s="40"/>
      <c r="I98" s="40"/>
      <c r="J98" s="24"/>
      <c r="K98" s="41"/>
      <c r="L98" s="3"/>
    </row>
    <row r="99" spans="1:12" x14ac:dyDescent="0.25">
      <c r="A99" s="44"/>
      <c r="B99" s="63" t="s">
        <v>124</v>
      </c>
      <c r="C99" s="4">
        <v>40</v>
      </c>
      <c r="D99" s="40"/>
      <c r="E99" s="40"/>
      <c r="F99" s="40"/>
      <c r="G99" s="40"/>
      <c r="H99" s="40"/>
      <c r="I99" s="40"/>
      <c r="J99" s="24"/>
      <c r="K99" s="41"/>
      <c r="L99" s="3"/>
    </row>
    <row r="100" spans="1:12" x14ac:dyDescent="0.25">
      <c r="A100" s="44"/>
      <c r="B100" s="63" t="s">
        <v>125</v>
      </c>
      <c r="C100" s="4">
        <v>40</v>
      </c>
      <c r="D100" s="40"/>
      <c r="E100" s="40"/>
      <c r="F100" s="40"/>
      <c r="G100" s="40"/>
      <c r="H100" s="40"/>
      <c r="I100" s="40"/>
      <c r="J100" s="24"/>
      <c r="K100" s="41"/>
      <c r="L100" s="3"/>
    </row>
    <row r="101" spans="1:12" x14ac:dyDescent="0.25">
      <c r="A101" s="44"/>
      <c r="B101" s="63"/>
      <c r="C101" s="4"/>
      <c r="D101" s="40"/>
      <c r="E101" s="40"/>
      <c r="F101" s="40"/>
      <c r="G101" s="40"/>
      <c r="H101" s="40"/>
      <c r="I101" s="40"/>
      <c r="J101" s="24"/>
      <c r="K101" s="41"/>
      <c r="L101" s="3"/>
    </row>
    <row r="102" spans="1:12" x14ac:dyDescent="0.25">
      <c r="A102" s="44"/>
      <c r="B102" s="47" t="s">
        <v>126</v>
      </c>
      <c r="C102" s="66">
        <v>20</v>
      </c>
      <c r="D102" s="40"/>
      <c r="E102" s="40"/>
      <c r="F102" s="40"/>
      <c r="G102" s="40"/>
      <c r="H102" s="40"/>
      <c r="I102" s="40"/>
      <c r="J102" s="24"/>
      <c r="K102" s="41"/>
      <c r="L102" s="3"/>
    </row>
    <row r="103" spans="1:12" x14ac:dyDescent="0.25">
      <c r="A103" s="44"/>
      <c r="B103" s="47" t="s">
        <v>127</v>
      </c>
      <c r="C103" s="66">
        <v>8</v>
      </c>
      <c r="D103" s="40"/>
      <c r="E103" s="40"/>
      <c r="F103" s="40"/>
      <c r="G103" s="40"/>
      <c r="H103" s="40"/>
      <c r="I103" s="40"/>
      <c r="J103" s="24"/>
      <c r="K103" s="41"/>
      <c r="L103" s="3"/>
    </row>
    <row r="104" spans="1:12" x14ac:dyDescent="0.25">
      <c r="A104" s="44"/>
      <c r="B104" s="63"/>
      <c r="C104" s="4"/>
      <c r="D104" s="40"/>
      <c r="E104" s="40"/>
      <c r="F104" s="40"/>
      <c r="G104" s="40"/>
      <c r="H104" s="40"/>
      <c r="I104" s="40"/>
      <c r="J104" s="24"/>
      <c r="K104" s="41"/>
      <c r="L104" s="3"/>
    </row>
    <row r="105" spans="1:12" x14ac:dyDescent="0.25">
      <c r="A105" s="44"/>
      <c r="B105" s="63" t="s">
        <v>128</v>
      </c>
      <c r="C105" s="105">
        <v>8</v>
      </c>
      <c r="D105" s="67"/>
      <c r="E105" s="40"/>
      <c r="F105" s="40"/>
      <c r="G105" s="40"/>
      <c r="H105" s="40"/>
      <c r="I105" s="40"/>
      <c r="J105" s="24"/>
      <c r="K105" s="41"/>
      <c r="L105" s="3"/>
    </row>
    <row r="106" spans="1:12" x14ac:dyDescent="0.25">
      <c r="A106" s="44"/>
      <c r="B106" s="63"/>
      <c r="C106" s="95"/>
      <c r="D106" s="95"/>
      <c r="E106" s="67"/>
      <c r="F106" s="67"/>
      <c r="G106" s="67"/>
      <c r="H106" s="67"/>
      <c r="I106" s="67"/>
      <c r="J106" s="24"/>
      <c r="K106" s="41"/>
      <c r="L106" s="3"/>
    </row>
    <row r="107" spans="1:12" x14ac:dyDescent="0.25">
      <c r="A107" s="36">
        <v>9</v>
      </c>
      <c r="B107" s="68" t="s">
        <v>129</v>
      </c>
      <c r="C107" s="106"/>
      <c r="D107" s="106">
        <f>SUM(C108:C112)</f>
        <v>8</v>
      </c>
      <c r="E107" s="102">
        <f>D107/8</f>
        <v>1</v>
      </c>
      <c r="F107" s="69">
        <v>1</v>
      </c>
      <c r="G107" s="69">
        <f>D107/F107/40</f>
        <v>0.2</v>
      </c>
      <c r="H107" s="69">
        <v>1</v>
      </c>
      <c r="I107" s="70">
        <f>D107/H107/40</f>
        <v>0.2</v>
      </c>
      <c r="J107" s="35"/>
      <c r="K107" s="37"/>
      <c r="L107" s="6"/>
    </row>
    <row r="108" spans="1:12" x14ac:dyDescent="0.25">
      <c r="A108" s="44"/>
      <c r="B108" s="63" t="s">
        <v>130</v>
      </c>
      <c r="C108" s="130">
        <v>8</v>
      </c>
      <c r="D108" s="95"/>
      <c r="E108" s="42"/>
      <c r="F108" s="42"/>
      <c r="G108" s="42"/>
      <c r="H108" s="42"/>
      <c r="I108" s="42"/>
      <c r="J108" s="24"/>
      <c r="K108" s="41"/>
      <c r="L108" s="3"/>
    </row>
    <row r="109" spans="1:12" x14ac:dyDescent="0.25">
      <c r="A109" s="44"/>
      <c r="B109" s="63" t="s">
        <v>131</v>
      </c>
      <c r="C109" s="131"/>
      <c r="D109" s="95"/>
      <c r="E109" s="103"/>
      <c r="F109" s="40"/>
      <c r="G109" s="40"/>
      <c r="H109" s="40"/>
      <c r="I109" s="40"/>
      <c r="J109" s="24"/>
      <c r="K109" s="41"/>
      <c r="L109" s="3"/>
    </row>
    <row r="110" spans="1:12" x14ac:dyDescent="0.25">
      <c r="A110" s="44"/>
      <c r="B110" s="63" t="s">
        <v>132</v>
      </c>
      <c r="C110" s="131"/>
      <c r="D110" s="95"/>
      <c r="E110" s="103"/>
      <c r="F110" s="40"/>
      <c r="G110" s="40"/>
      <c r="H110" s="40"/>
      <c r="I110" s="40"/>
      <c r="J110" s="24"/>
      <c r="K110" s="41"/>
      <c r="L110" s="3"/>
    </row>
    <row r="111" spans="1:12" ht="30" x14ac:dyDescent="0.25">
      <c r="A111" s="44"/>
      <c r="B111" s="63" t="s">
        <v>133</v>
      </c>
      <c r="C111" s="131"/>
      <c r="D111" s="95"/>
      <c r="E111" s="103"/>
      <c r="F111" s="40"/>
      <c r="G111" s="40"/>
      <c r="H111" s="40"/>
      <c r="I111" s="40"/>
      <c r="J111" s="24"/>
      <c r="K111" s="41"/>
      <c r="L111" s="3"/>
    </row>
    <row r="112" spans="1:12" x14ac:dyDescent="0.25">
      <c r="A112" s="44"/>
      <c r="B112" s="63"/>
      <c r="C112" s="95"/>
      <c r="D112" s="95"/>
      <c r="E112" s="103"/>
      <c r="F112" s="40"/>
      <c r="G112" s="40"/>
      <c r="H112" s="42"/>
      <c r="I112" s="42"/>
      <c r="J112" s="24"/>
      <c r="K112" s="41"/>
      <c r="L112" s="3"/>
    </row>
    <row r="113" spans="1:13" x14ac:dyDescent="0.25">
      <c r="A113" s="36">
        <v>10</v>
      </c>
      <c r="B113" s="68" t="s">
        <v>134</v>
      </c>
      <c r="C113" s="106"/>
      <c r="D113" s="106">
        <f>SUM(C114:C116)</f>
        <v>9</v>
      </c>
      <c r="E113" s="104">
        <f>D113/8</f>
        <v>1.125</v>
      </c>
      <c r="F113" s="35">
        <v>1</v>
      </c>
      <c r="G113" s="35">
        <f>D113/F113/40</f>
        <v>0.22500000000000001</v>
      </c>
      <c r="H113" s="58">
        <v>1</v>
      </c>
      <c r="I113" s="59">
        <f>D113/H113/40</f>
        <v>0.22500000000000001</v>
      </c>
      <c r="J113" s="36"/>
      <c r="K113" s="37"/>
      <c r="L113" s="6"/>
    </row>
    <row r="114" spans="1:13" x14ac:dyDescent="0.25">
      <c r="A114" s="44"/>
      <c r="B114" s="63" t="s">
        <v>135</v>
      </c>
      <c r="C114" s="5">
        <v>4</v>
      </c>
      <c r="D114" s="95"/>
      <c r="E114" s="103"/>
      <c r="F114" s="40"/>
      <c r="G114" s="40"/>
      <c r="H114" s="40"/>
      <c r="I114" s="40"/>
      <c r="J114" s="24"/>
      <c r="K114" s="41"/>
      <c r="L114" s="3"/>
    </row>
    <row r="115" spans="1:13" x14ac:dyDescent="0.25">
      <c r="A115" s="44"/>
      <c r="B115" s="63" t="s">
        <v>136</v>
      </c>
      <c r="C115" s="5">
        <v>4</v>
      </c>
      <c r="D115" s="95"/>
      <c r="E115" s="103"/>
      <c r="F115" s="40"/>
      <c r="G115" s="40"/>
      <c r="H115" s="40"/>
      <c r="I115" s="40"/>
      <c r="J115" s="24"/>
      <c r="K115" s="41"/>
      <c r="L115" s="3"/>
    </row>
    <row r="116" spans="1:13" x14ac:dyDescent="0.25">
      <c r="A116" s="44"/>
      <c r="B116" s="63" t="s">
        <v>137</v>
      </c>
      <c r="C116" s="5">
        <v>1</v>
      </c>
      <c r="D116" s="95"/>
      <c r="E116" s="103"/>
      <c r="F116" s="40"/>
      <c r="G116" s="40"/>
      <c r="H116" s="40"/>
      <c r="I116" s="40"/>
      <c r="J116" s="24"/>
      <c r="K116" s="41"/>
      <c r="L116" s="3"/>
    </row>
    <row r="117" spans="1:13" x14ac:dyDescent="0.25">
      <c r="A117" s="71"/>
      <c r="B117" s="72" t="s">
        <v>138</v>
      </c>
      <c r="C117" s="107">
        <f>SUM(C12:C116)</f>
        <v>1236</v>
      </c>
      <c r="D117" s="107">
        <f>SUM(D12:D116)</f>
        <v>1236</v>
      </c>
      <c r="E117" s="73"/>
      <c r="F117" s="74"/>
      <c r="G117" s="75">
        <f>SUM(G12:G116)</f>
        <v>17.7</v>
      </c>
      <c r="H117" s="75"/>
      <c r="I117" s="75">
        <f>SUM(I12:I116)</f>
        <v>14.049999999999999</v>
      </c>
      <c r="J117" s="76"/>
      <c r="K117" s="76"/>
      <c r="L117" s="76"/>
    </row>
    <row r="118" spans="1:13" x14ac:dyDescent="0.25">
      <c r="A118" s="71"/>
      <c r="B118" s="72" t="s">
        <v>139</v>
      </c>
      <c r="C118" s="108">
        <f>0.1*C117</f>
        <v>123.60000000000001</v>
      </c>
      <c r="D118" s="108">
        <f>0.1*D117</f>
        <v>123.60000000000001</v>
      </c>
      <c r="E118" s="77"/>
      <c r="F118" s="77"/>
      <c r="G118" s="77"/>
      <c r="H118" s="77"/>
      <c r="I118" s="77"/>
      <c r="J118" s="78"/>
      <c r="K118" s="78"/>
      <c r="L118" s="78"/>
    </row>
    <row r="119" spans="1:13" x14ac:dyDescent="0.25">
      <c r="A119" s="79"/>
      <c r="B119" s="72" t="s">
        <v>140</v>
      </c>
      <c r="C119" s="108">
        <f>SUM(C117:C118)</f>
        <v>1359.6</v>
      </c>
      <c r="D119" s="108">
        <f>SUM(D117:D118)</f>
        <v>1359.6</v>
      </c>
      <c r="E119" s="98"/>
      <c r="F119" s="80"/>
      <c r="G119" s="80"/>
      <c r="H119" s="80"/>
      <c r="I119" s="80"/>
      <c r="J119" s="76"/>
      <c r="K119" s="76"/>
      <c r="L119" s="76"/>
      <c r="M119" s="92"/>
    </row>
    <row r="120" spans="1:13" x14ac:dyDescent="0.25">
      <c r="A120" s="79"/>
      <c r="B120" s="72" t="s">
        <v>141</v>
      </c>
      <c r="C120" s="108">
        <f>C119/8</f>
        <v>169.95</v>
      </c>
      <c r="D120" s="108">
        <f>D119/8</f>
        <v>169.95</v>
      </c>
      <c r="E120" s="98"/>
      <c r="F120" s="80"/>
      <c r="G120" s="80"/>
      <c r="H120" s="80"/>
      <c r="I120" s="80"/>
      <c r="J120" s="76"/>
      <c r="K120" s="76"/>
      <c r="L120" s="76"/>
      <c r="M120" s="92"/>
    </row>
    <row r="121" spans="1:13" x14ac:dyDescent="0.25">
      <c r="A121" s="79"/>
      <c r="B121" s="72" t="s">
        <v>142</v>
      </c>
      <c r="C121" s="108">
        <f>C120/22</f>
        <v>7.7249999999999996</v>
      </c>
      <c r="D121" s="108">
        <f>D120/22</f>
        <v>7.7249999999999996</v>
      </c>
      <c r="E121" s="98"/>
      <c r="F121" s="80"/>
      <c r="G121" s="80"/>
      <c r="H121" s="80"/>
      <c r="I121" s="80"/>
      <c r="J121" s="76"/>
      <c r="K121" s="76"/>
      <c r="L121" s="76"/>
      <c r="M121" s="92"/>
    </row>
    <row r="122" spans="1:13" ht="30.75" customHeight="1" x14ac:dyDescent="0.25">
      <c r="A122" s="79"/>
      <c r="B122" s="72" t="s">
        <v>143</v>
      </c>
      <c r="C122" s="132" t="s">
        <v>144</v>
      </c>
      <c r="D122" s="131"/>
      <c r="E122" s="98"/>
      <c r="F122" s="80"/>
      <c r="G122" s="80"/>
      <c r="H122" s="80"/>
      <c r="I122" s="80"/>
      <c r="J122" s="76"/>
      <c r="K122" s="76"/>
      <c r="L122" s="76"/>
      <c r="M122" s="92"/>
    </row>
    <row r="123" spans="1:13" x14ac:dyDescent="0.25">
      <c r="A123" s="9"/>
      <c r="B123" s="81"/>
      <c r="C123" s="82"/>
      <c r="D123" s="82"/>
      <c r="E123" s="82"/>
      <c r="F123" s="82"/>
      <c r="G123" s="82"/>
      <c r="H123" s="82"/>
      <c r="I123" s="82"/>
      <c r="J123" s="15"/>
      <c r="K123" s="16"/>
      <c r="L123" s="16"/>
      <c r="M123" s="92"/>
    </row>
    <row r="124" spans="1:13" x14ac:dyDescent="0.25">
      <c r="A124" s="9"/>
      <c r="B124" s="7" t="s">
        <v>145</v>
      </c>
      <c r="C124" s="15"/>
      <c r="D124" s="15"/>
      <c r="E124" s="15"/>
      <c r="F124" s="15"/>
      <c r="G124" s="15"/>
      <c r="H124" s="15"/>
      <c r="I124" s="15"/>
      <c r="J124" s="15"/>
      <c r="K124" s="16"/>
      <c r="L124" s="16"/>
      <c r="M124" s="92"/>
    </row>
    <row r="125" spans="1:13" x14ac:dyDescent="0.25">
      <c r="A125" s="83">
        <v>1</v>
      </c>
      <c r="B125" s="126" t="s">
        <v>146</v>
      </c>
      <c r="C125" s="127"/>
      <c r="D125" s="127"/>
      <c r="E125" s="127"/>
      <c r="F125" s="15"/>
      <c r="G125" s="15"/>
      <c r="H125" s="15"/>
      <c r="I125" s="15"/>
      <c r="J125" s="15"/>
      <c r="K125" s="16"/>
      <c r="L125" s="16"/>
      <c r="M125" s="92"/>
    </row>
    <row r="126" spans="1:13" x14ac:dyDescent="0.25">
      <c r="A126" s="83">
        <v>2</v>
      </c>
      <c r="B126" s="126" t="s">
        <v>147</v>
      </c>
      <c r="C126" s="127"/>
      <c r="D126" s="127"/>
      <c r="E126" s="127"/>
      <c r="F126" s="15"/>
      <c r="G126" s="15"/>
      <c r="H126" s="15"/>
      <c r="I126" s="15"/>
      <c r="J126" s="15"/>
      <c r="K126" s="16"/>
      <c r="L126" s="16"/>
      <c r="M126" s="92"/>
    </row>
    <row r="127" spans="1:13" x14ac:dyDescent="0.25">
      <c r="A127" s="83">
        <v>3</v>
      </c>
      <c r="B127" s="126" t="s">
        <v>148</v>
      </c>
      <c r="C127" s="127"/>
      <c r="D127" s="127"/>
      <c r="E127" s="127"/>
      <c r="F127" s="15"/>
      <c r="G127" s="15"/>
      <c r="H127" s="15"/>
      <c r="I127" s="15"/>
      <c r="J127" s="15"/>
      <c r="K127" s="8"/>
      <c r="L127" s="8"/>
    </row>
    <row r="128" spans="1:13" x14ac:dyDescent="0.25">
      <c r="A128" s="9"/>
      <c r="B128" s="7" t="s">
        <v>149</v>
      </c>
      <c r="C128" s="15"/>
      <c r="D128" s="15"/>
      <c r="E128" s="15"/>
      <c r="F128" s="15"/>
      <c r="G128" s="15"/>
      <c r="H128" s="15"/>
      <c r="I128" s="15"/>
      <c r="J128" s="15"/>
      <c r="K128" s="8"/>
      <c r="L128" s="8"/>
    </row>
    <row r="129" spans="1:12" x14ac:dyDescent="0.25">
      <c r="A129" s="9"/>
      <c r="B129" s="126" t="s">
        <v>150</v>
      </c>
      <c r="C129" s="127"/>
      <c r="D129" s="127"/>
      <c r="E129" s="127"/>
      <c r="F129" s="15"/>
      <c r="G129" s="15"/>
      <c r="H129" s="15"/>
      <c r="I129" s="15"/>
      <c r="J129" s="15"/>
      <c r="K129" s="8"/>
      <c r="L129" s="8"/>
    </row>
    <row r="130" spans="1:12" x14ac:dyDescent="0.25">
      <c r="A130" s="9"/>
      <c r="B130" s="8"/>
      <c r="C130" s="15"/>
      <c r="D130" s="15"/>
      <c r="E130" s="15"/>
      <c r="F130" s="15"/>
      <c r="G130" s="15"/>
      <c r="H130" s="15"/>
      <c r="I130" s="15"/>
      <c r="J130" s="15"/>
      <c r="K130" s="8"/>
      <c r="L130" s="8"/>
    </row>
    <row r="131" spans="1:12" x14ac:dyDescent="0.25">
      <c r="A131" s="9"/>
      <c r="B131" s="84" t="s">
        <v>151</v>
      </c>
      <c r="C131" s="85"/>
      <c r="D131" s="15"/>
      <c r="E131" s="15"/>
      <c r="F131" s="15"/>
      <c r="G131" s="15"/>
      <c r="H131" s="15"/>
      <c r="I131" s="15"/>
      <c r="J131" s="15"/>
      <c r="K131" s="8"/>
      <c r="L131" s="8"/>
    </row>
    <row r="132" spans="1:12" x14ac:dyDescent="0.25">
      <c r="A132" s="9"/>
      <c r="B132" s="86" t="s">
        <v>152</v>
      </c>
      <c r="C132" s="85"/>
      <c r="D132" s="15"/>
      <c r="E132" s="15"/>
      <c r="F132" s="15"/>
      <c r="G132" s="15"/>
      <c r="H132" s="15"/>
      <c r="I132" s="15"/>
      <c r="J132" s="15"/>
      <c r="K132" s="8"/>
      <c r="L132" s="8"/>
    </row>
    <row r="133" spans="1:12" x14ac:dyDescent="0.25">
      <c r="A133" s="9"/>
      <c r="B133" s="8" t="s">
        <v>153</v>
      </c>
      <c r="C133" s="15"/>
      <c r="D133" s="15"/>
      <c r="E133" s="15"/>
      <c r="F133" s="15"/>
      <c r="G133" s="15"/>
      <c r="H133" s="15"/>
      <c r="I133" s="15"/>
      <c r="J133" s="15"/>
      <c r="K133" s="8"/>
      <c r="L133" s="8"/>
    </row>
    <row r="134" spans="1:12" x14ac:dyDescent="0.25">
      <c r="A134" s="9"/>
      <c r="B134" s="84" t="s">
        <v>154</v>
      </c>
      <c r="C134" s="15"/>
      <c r="D134" s="15"/>
      <c r="E134" s="15"/>
      <c r="F134" s="15"/>
      <c r="G134" s="15"/>
      <c r="H134" s="15"/>
      <c r="I134" s="15"/>
      <c r="J134" s="15"/>
      <c r="K134" s="8"/>
      <c r="L134" s="8"/>
    </row>
    <row r="135" spans="1:12" x14ac:dyDescent="0.25">
      <c r="A135" s="9"/>
      <c r="B135" s="41" t="s">
        <v>169</v>
      </c>
      <c r="C135" s="15"/>
      <c r="D135" s="15"/>
      <c r="E135" s="15"/>
      <c r="F135" s="15"/>
      <c r="G135" s="15"/>
      <c r="H135" s="15"/>
      <c r="I135" s="15"/>
      <c r="J135" s="15"/>
      <c r="K135" s="8"/>
      <c r="L135" s="8"/>
    </row>
    <row r="136" spans="1:12" x14ac:dyDescent="0.25">
      <c r="A136" s="9"/>
      <c r="B136" s="41" t="s">
        <v>155</v>
      </c>
      <c r="C136" s="15"/>
      <c r="D136" s="15"/>
      <c r="E136" s="15"/>
      <c r="F136" s="15"/>
      <c r="G136" s="15"/>
      <c r="H136" s="15"/>
      <c r="I136" s="15"/>
      <c r="J136" s="15"/>
      <c r="K136" s="8"/>
      <c r="L136" s="8"/>
    </row>
    <row r="137" spans="1:12" x14ac:dyDescent="0.25">
      <c r="A137" s="9"/>
      <c r="B137" s="85"/>
      <c r="C137" s="15"/>
      <c r="D137" s="15"/>
      <c r="E137" s="15"/>
      <c r="F137" s="15"/>
      <c r="G137" s="15"/>
      <c r="H137" s="15"/>
      <c r="I137" s="15"/>
      <c r="J137" s="15"/>
      <c r="K137" s="8"/>
      <c r="L137" s="8"/>
    </row>
    <row r="138" spans="1:12" x14ac:dyDescent="0.25">
      <c r="A138" s="9"/>
      <c r="B138" s="87" t="s">
        <v>156</v>
      </c>
      <c r="C138" s="15"/>
      <c r="D138" s="15"/>
      <c r="E138" s="15"/>
      <c r="F138" s="15"/>
      <c r="G138" s="15"/>
      <c r="H138" s="15"/>
      <c r="I138" s="15"/>
      <c r="J138" s="15"/>
      <c r="K138" s="8"/>
      <c r="L138" s="8"/>
    </row>
    <row r="139" spans="1:12" x14ac:dyDescent="0.25">
      <c r="A139" s="9"/>
      <c r="B139" s="88" t="s">
        <v>157</v>
      </c>
      <c r="C139" s="15"/>
      <c r="D139" s="15"/>
      <c r="E139" s="15"/>
      <c r="F139" s="15"/>
      <c r="G139" s="15"/>
      <c r="H139" s="15"/>
      <c r="I139" s="15"/>
      <c r="J139" s="15"/>
      <c r="K139" s="8"/>
      <c r="L139" s="8"/>
    </row>
  </sheetData>
  <mergeCells count="11">
    <mergeCell ref="B129:E129"/>
    <mergeCell ref="B125:E125"/>
    <mergeCell ref="C122:D122"/>
    <mergeCell ref="F10:G10"/>
    <mergeCell ref="B127:E127"/>
    <mergeCell ref="C5:E5"/>
    <mergeCell ref="C2:D2"/>
    <mergeCell ref="H10:I10"/>
    <mergeCell ref="B126:E126"/>
    <mergeCell ref="A2:A3"/>
    <mergeCell ref="C108:C11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 estimation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Aruna S.</cp:lastModifiedBy>
  <dcterms:created xsi:type="dcterms:W3CDTF">2026-07-23T05:18:16Z</dcterms:created>
  <dcterms:modified xsi:type="dcterms:W3CDTF">2026-07-29T09:39:15Z</dcterms:modified>
</cp:coreProperties>
</file>